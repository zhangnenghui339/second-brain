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edf5406f4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3d2e1581584a09"/>
    <x:sheet xmlns:r="http://schemas.openxmlformats.org/officeDocument/2006/relationships" name="Log" sheetId="2" r:id="R857977a250254af5"/>
    <x:sheet xmlns:r="http://schemas.openxmlformats.org/officeDocument/2006/relationships" name="Calc" sheetId="3" r:id="Rd5944204406241d8"/>
    <x:sheet xmlns:r="http://schemas.openxmlformats.org/officeDocument/2006/relationships" name="Reference" sheetId="4" r:id="Rcf2500f08a774398"/>
  </x:sheets>
</x:workbook>
</file>

<file path=xl/sharedStrings.xml><?xml version="1.0" encoding="utf-8"?>
<x:sst xmlns:x="http://schemas.openxmlformats.org/spreadsheetml/2006/main">
  <x:si>
    <x:r>
      <x:rPr>
        <x:b/>
        <x:sz val="1300"/>
        <x:color rgb="FF000000"/>
        <x:rFont val="Arial"/>
      </x:rPr>
      <x:t xml:space="preserve">ATS </x:t>
    </x:r>
    <x:r>
      <x:rPr>
        <x:b/>
        <x:sz val="1300"/>
        <x:color rgb="FF000000"/>
        <x:rFont val="Noto Sans CJK SC"/>
        <x:family val="2"/>
      </x:rPr>
      <x:t xml:space="preserve">实测 </x:t>
    </x:r>
    <x:r>
      <x:rPr>
        <x:b/>
        <x:sz val="1300"/>
        <x:color rgb="FF000000"/>
        <x:rFont val="Arial"/>
      </x:rPr>
      <x:t xml:space="preserve">· </x:t>
    </x:r>
    <x:r>
      <x:rPr>
        <x:b/>
        <x:sz val="1300"/>
        <x:color rgb="FF000000"/>
        <x:rFont val="Noto Sans CJK SC"/>
        <x:family val="2"/>
      </x:rPr>
      <x:t xml:space="preserve">一致率看板（</x:t>
    </x:r>
    <x:r>
      <x:rPr>
        <x:b/>
        <x:sz val="1300"/>
        <x:color rgb="FF000000"/>
        <x:rFont val="Arial"/>
      </x:rPr>
      <x:t xml:space="preserve">Kill Criteria</x:t>
    </x:r>
    <x:r>
      <x:rPr>
        <x:b/>
        <x:sz val="1300"/>
        <x:color rgb="FF000000"/>
        <x:rFont val="Noto Sans CJK SC"/>
        <x:family val="2"/>
      </x:rPr>
      <x:t xml:space="preserve">：每个 变体</x:t>
    </x:r>
    <x:r>
      <x:rPr>
        <x:b/>
        <x:sz val="1300"/>
        <x:color rgb="FF000000"/>
        <x:rFont val="Arial"/>
      </x:rPr>
      <x:t xml:space="preserve">×</x:t>
    </x:r>
    <x:r>
      <x:rPr>
        <x:b/>
        <x:sz val="1300"/>
        <x:color rgb="FF000000"/>
        <x:rFont val="Noto Sans CJK SC"/>
        <x:family val="2"/>
      </x:rPr>
      <x:t xml:space="preserve">平台 一致率 ≥</x:t>
    </x:r>
    <x:r>
      <x:rPr>
        <x:b/>
        <x:sz val="1300"/>
        <x:color rgb="FF000000"/>
        <x:rFont val="Arial"/>
      </x:rPr>
      <x:t xml:space="preserve">90%</x:t>
    </x:r>
    <x:r>
      <x:rPr>
        <x:b/>
        <x:sz val="1300"/>
        <x:color rgb="FF000000"/>
        <x:rFont val="Noto Sans CJK SC"/>
        <x:family val="2"/>
      </x:rPr>
      <x:t xml:space="preserve">）</x:t>
    </x:r>
  </x:si>
  <x:si>
    <x:t xml:space="preserve">平台</x:t>
  </x:si>
  <x:si>
    <x:t xml:space="preserve">变体</x:t>
  </x:si>
  <x:si>
    <x:t xml:space="preserve">变体说明</x:t>
  </x:si>
  <x:si>
    <x:t xml:space="preserve">完成字段数 /10</x:t>
  </x:si>
  <x:si>
    <x:t xml:space="preserve">一致字段数</x:t>
  </x:si>
  <x:si>
    <x:t xml:space="preserve">一致率</x:t>
  </x:si>
  <x:si>
    <x:t xml:space="preserve">技术门判定</x:t>
  </x:si>
  <x:si>
    <x:t xml:space="preserve">V01</x:t>
  </x:si>
  <x:si>
    <x:t xml:space="preserve">单栏、Arial 11pt、纯文字、无表格无图标、联系方式在正文首行</x:t>
  </x:si>
  <x:si>
    <x:t xml:space="preserve">V02</x:t>
  </x:si>
  <x:si>
    <x:t xml:space="preserve">工作经历改用表格排版</x:t>
  </x:si>
  <x:si>
    <x:t xml:space="preserve">V03</x:t>
  </x:si>
  <x:si>
    <x:t xml:space="preserve">技能列表改用图标/符号</x:t>
  </x:si>
  <x:si>
    <x:t xml:space="preserve">V04</x:t>
  </x:si>
  <x:si>
    <x:t xml:space="preserve">双栏布局，左窄右宽</x:t>
  </x:si>
  <x:si>
    <x:t xml:space="preserve">V05</x:t>
  </x:si>
  <x:si>
    <x:t xml:space="preserve">全文非常规字体 Montserrat/Garamond</x:t>
  </x:si>
  <x:si>
    <x:t xml:space="preserve">V06</x:t>
  </x:si>
  <x:si>
    <x:t xml:space="preserve">联系方式移入页眉，页脚加页码</x:t>
  </x:si>
  <x:si>
    <x:t xml:space="preserve">总判定</x:t>
  </x:si>
  <x:si>
    <x:t xml:space="preserve">判定逻辑：一致 = 同一变体同一平台 3 次重复中该字段 pass 值完全相同（YYY/NNN/ppp 均算一致，混合不算）。一致率 = 一致字段数 ÷ 已完成字段数。</x:t>
  </x:si>
  <x:si>
    <x:t xml:space="preserve">run_id</x:t>
  </x:si>
  <x:si>
    <x:t xml:space="preserve">date</x:t>
  </x:si>
  <x:si>
    <x:t xml:space="preserve">ats</x:t>
  </x:si>
  <x:si>
    <x:t xml:space="preserve">company_slug</x:t>
  </x:si>
  <x:si>
    <x:t xml:space="preserve">variant_id</x:t>
  </x:si>
  <x:si>
    <x:t xml:space="preserve">run_no</x:t>
  </x:si>
  <x:si>
    <x:t xml:space="preserve">field_name</x:t>
  </x:si>
  <x:si>
    <x:t xml:space="preserve">expected</x:t>
  </x:si>
  <x:si>
    <x:t xml:space="preserve">actual</x:t>
  </x:si>
  <x:si>
    <x:t xml:space="preserve">pass</x:t>
  </x:si>
  <x:si>
    <x:t xml:space="preserve">screenshot_file</x:t>
  </x:si>
  <x:si>
    <x:t xml:space="preserve">notes</x:t>
  </x:si>
  <x:si>
    <x:t xml:space="preserve">key</x:t>
  </x:si>
  <x:si>
    <x:t xml:space="preserve">姓名</x:t>
  </x:si>
  <x:si>
    <x:t xml:space="preserve">Alex Chen</x:t>
  </x:si>
  <x:si>
    <x:t xml:space="preserve">邮箱</x:t>
  </x:si>
  <x:si>
    <x:t xml:space="preserve">alex.chen.swtest@careerradar.io</x:t>
  </x:si>
  <x:si>
    <x:t xml:space="preserve">电话</x:t>
  </x:si>
  <x:si>
    <x:t xml:space="preserve">+1 (415) 555-0142</x:t>
  </x:si>
  <x:si>
    <x:t xml:space="preserve">城市</x:t>
  </x:si>
  <x:si>
    <x:t xml:space="preserve">San Francisco, CA</x:t>
  </x:si>
  <x:si>
    <x:t xml:space="preserve">最近公司</x:t>
  </x:si>
  <x:si>
    <x:t xml:space="preserve">Meridian Data Systems</x:t>
  </x:si>
  <x:si>
    <x:t xml:space="preserve">最近职位头衔</x:t>
  </x:si>
  <x:si>
    <x:t xml:space="preserve">Senior Software Engineer</x:t>
  </x:si>
  <x:si>
    <x:t xml:space="preserve">工作经历条数</x:t>
  </x:si>
  <x:si>
    <x:t xml:space="preserve">2</x:t>
  </x:si>
  <x:si>
    <x:t xml:space="preserve">起止日期</x:t>
  </x:si>
  <x:si>
    <x:t xml:space="preserve">Mar 2022 - Present; Jun 2018 - Feb 2022</x:t>
  </x:si>
  <x:si>
    <x:t xml:space="preserve">教育背景</x:t>
  </x:si>
  <x:si>
    <x:t xml:space="preserve">B.S. Computer Science, University of California, Davis</x:t>
  </x:si>
  <x:si>
    <x:t xml:space="preserve">技能识别数量</x:t>
  </x:si>
  <x:si>
    <x:t xml:space="preserve">10</x:t>
  </x:si>
  <x:si>
    <x:t xml:space="preserve">variant</x:t>
  </x:si>
  <x:si>
    <x:t xml:space="preserve">field</x:t>
  </x:si>
  <x:si>
    <x:t xml:space="preserve">pass_run1</x:t>
  </x:si>
  <x:si>
    <x:t xml:space="preserve">pass_run2</x:t>
  </x:si>
  <x:si>
    <x:t xml:space="preserve">pass_run3</x:t>
  </x:si>
  <x:si>
    <x:t xml:space="preserve">complete</x:t>
  </x:si>
  <x:si>
    <x:t xml:space="preserve">consistent</x:t>
  </x:si>
  <x:si>
    <x:t xml:space="preserve">GH</x:t>
  </x:si>
  <x:si>
    <x:t xml:space="preserve">配置与参考</x:t>
  </x:si>
  <x:si>
    <x:r>
      <x:rPr>
        <x:sz val="1000"/>
        <x:color rgb="FF000000"/>
        <x:rFont val="Noto Sans CJK SC"/>
        <x:family val="2"/>
      </x:rPr>
      <x:t xml:space="preserve">平台 </x:t>
    </x:r>
    <x:r>
      <x:rPr>
        <x:sz val="1000"/>
        <x:color rgb="FF000000"/>
        <x:rFont val="Arial"/>
      </x:rPr>
      <x:t xml:space="preserve">1 </x:t>
    </x:r>
    <x:r>
      <x:rPr>
        <x:sz val="1000"/>
        <x:color rgb="FF000000"/>
        <x:rFont val="Noto Sans CJK SC"/>
        <x:family val="2"/>
      </x:rPr>
      <x:t xml:space="preserve">代码（原 </x:t>
    </x:r>
    <x:r>
      <x:rPr>
        <x:sz val="1000"/>
        <x:color rgb="FF000000"/>
        <x:rFont val="Arial"/>
      </x:rPr>
      <x:t xml:space="preserve">Greenhouse </x:t>
    </x:r>
    <x:r>
      <x:rPr>
        <x:sz val="1000"/>
        <x:color rgb="FF000000"/>
        <x:rFont val="Noto Sans CJK SC"/>
        <x:family val="2"/>
      </x:rPr>
      <x:t xml:space="preserve">通道已判死 → 默认 </x:t>
    </x:r>
    <x:r>
      <x:rPr>
        <x:sz val="1000"/>
        <x:color rgb="FF000000"/>
        <x:rFont val="Arial"/>
      </x:rPr>
      <x:t xml:space="preserve">Workable</x:t>
    </x:r>
    <x:r>
      <x:rPr>
        <x:sz val="1000"/>
        <x:color rgb="FF000000"/>
        <x:rFont val="Noto Sans CJK SC"/>
        <x:family val="2"/>
      </x:rPr>
      <x:t xml:space="preserve">）</x:t>
    </x:r>
  </x:si>
  <x:si>
    <x:t xml:space="preserve">WK</x:t>
  </x:si>
  <x:si>
    <x:t xml:space="preserve">平台 2 代码（默认 Recruitee）</x:t>
  </x:si>
  <x:si>
    <x:t xml:space="preserve">RC</x:t>
  </x:si>
  <x:si>
    <x:t xml:space="preserve">WK=Workable  RC=Recruitee  MN=Manatal  ZR=Zoho Recruit  GH=Greenhouse  LV=Lever</x:t>
  </x:si>
  <x:si>
    <x:t xml:space="preserve">填表说明</x:t>
  </x:si>
  <x:si>
    <x:r>
      <x:rPr>
        <x:sz val="1000"/>
        <x:color rgb="FF000000"/>
        <x:rFont val="Arial"/>
      </x:rPr>
      <x:t xml:space="preserve">1. </x:t>
    </x:r>
    <x:r>
      <x:rPr>
        <x:sz val="1000"/>
        <x:color rgb="FF000000"/>
        <x:rFont val="Noto Sans CJK SC"/>
        <x:family val="2"/>
      </x:rPr>
      <x:t xml:space="preserve">只填黄色单元格：</x:t>
    </x:r>
    <x:r>
      <x:rPr>
        <x:sz val="1000"/>
        <x:color rgb="FF000000"/>
        <x:rFont val="Arial"/>
      </x:rPr>
      <x:t xml:space="preserve">date / company_slug / actual / pass / screenshot_file / notes</x:t>
    </x:r>
    <x:r>
      <x:rPr>
        <x:sz val="1000"/>
        <x:color rgb="FF000000"/>
        <x:rFont val="Noto Sans CJK SC"/>
        <x:family val="2"/>
      </x:rPr>
      <x:t xml:space="preserve">。其余列已预生成，勿改、勿排序、勿删行。</x:t>
    </x:r>
  </x:si>
  <x:si>
    <x:r>
      <x:rPr>
        <x:sz val="1000"/>
        <x:color rgb="FF000000"/>
        <x:rFont val="Arial"/>
      </x:rPr>
      <x:t xml:space="preserve">3. actual </x:t>
    </x:r>
    <x:r>
      <x:rPr>
        <x:sz val="1000"/>
        <x:color rgb="FF000000"/>
        <x:rFont val="Noto Sans CJK SC"/>
        <x:family val="2"/>
      </x:rPr>
      <x:t xml:space="preserve">照实抄录表单自动填充的内容；字段为空就写 </x:t>
    </x:r>
    <x:r>
      <x:rPr>
        <x:sz val="1000"/>
        <x:color rgb="FF000000"/>
        <x:rFont val="Arial"/>
      </x:rPr>
      <x:t xml:space="preserve">(blank)</x:t>
    </x:r>
    <x:r>
      <x:rPr>
        <x:sz val="1000"/>
        <x:color rgb="FF000000"/>
        <x:rFont val="Noto Sans CJK SC"/>
        <x:family val="2"/>
      </x:rPr>
      <x:t xml:space="preserve">。</x:t>
    </x:r>
  </x:si>
  <x:si>
    <x:r>
      <x:rPr>
        <x:sz val="1000"/>
        <x:color rgb="FF000000"/>
        <x:rFont val="Arial"/>
      </x:rPr>
      <x:t xml:space="preserve">4. </x:t>
    </x:r>
    <x:r>
      <x:rPr>
        <x:sz val="1000"/>
        <x:color rgb="FF000000"/>
        <x:rFont val="Noto Sans CJK SC"/>
        <x:family val="2"/>
      </x:rPr>
      <x:t xml:space="preserve">截图命名：</x:t>
    </x:r>
    <x:r>
      <x:rPr>
        <x:sz val="1000"/>
        <x:color rgb="FF000000"/>
        <x:rFont val="Arial"/>
      </x:rPr>
      <x:t xml:space="preserve">ATS_</x:t>
    </x:r>
    <x:r>
      <x:rPr>
        <x:sz val="1000"/>
        <x:color rgb="FF000000"/>
        <x:rFont val="Noto Sans CJK SC"/>
        <x:family val="2"/>
      </x:rPr>
      <x:t xml:space="preserve">公司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变体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轮次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区块</x:t>
    </x:r>
    <x:r>
      <x:rPr>
        <x:sz val="1000"/>
        <x:color rgb="FF000000"/>
        <x:rFont val="Arial"/>
      </x:rPr>
      <x:t xml:space="preserve">.png</x:t>
    </x:r>
    <x:r>
      <x:rPr>
        <x:sz val="1000"/>
        <x:color rgb="FF000000"/>
        <x:rFont val="Noto Sans CJK SC"/>
        <x:family val="2"/>
      </x:rPr>
      <x:t xml:space="preserve">，例如 </x:t>
    </x:r>
    <x:r>
      <x:rPr>
        <x:sz val="1000"/>
        <x:color rgb="FF000000"/>
        <x:rFont val="Arial"/>
      </x:rPr>
      <x:t xml:space="preserve">GH_stripe_V03_run2_skills.png</x:t>
    </x:r>
    <x:r>
      <x:rPr>
        <x:sz val="1000"/>
        <x:color rgb="FF000000"/>
        <x:rFont val="Noto Sans CJK SC"/>
        <x:family val="2"/>
      </x:rPr>
      <x:t xml:space="preserve">。</x:t>
    </x:r>
  </x:si>
  <x:si>
    <x:r>
      <x:rPr>
        <x:sz val="1000"/>
        <x:color rgb="FF000000"/>
        <x:rFont val="Arial"/>
      </x:rPr>
      <x:t xml:space="preserve">5. </x:t>
    </x:r>
    <x:r>
      <x:rPr>
        <x:sz val="1000"/>
        <x:color rgb="FF000000"/>
        <x:rFont val="Noto Sans CJK SC"/>
        <x:family val="2"/>
      </x:rPr>
      <x:t xml:space="preserve">自建后台模式：每平台建 </x:t>
    </x:r>
    <x:r>
      <x:rPr>
        <x:sz val="1000"/>
        <x:color rgb="FF000000"/>
        <x:rFont val="Arial"/>
      </x:rPr>
      <x:t xml:space="preserve">1 </x:t>
    </x:r>
    <x:r>
      <x:rPr>
        <x:sz val="1000"/>
        <x:color rgb="FF000000"/>
        <x:rFont val="Noto Sans CJK SC"/>
        <x:family val="2"/>
      </x:rPr>
      <x:t xml:space="preserve">个测试职位（设为不公开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内部</x:t>
    </x:r>
    <x:r>
      <x:rPr>
        <x:sz val="1000"/>
        <x:color rgb="FF000000"/>
        <x:rFont val="Arial"/>
      </x:rPr>
      <x:t xml:space="preserve">,</x:t>
    </x:r>
    <x:r>
      <x:rPr>
        <x:sz val="1000"/>
        <x:color rgb="FF000000"/>
        <x:rFont val="Noto Sans CJK SC"/>
        <x:family val="2"/>
      </x:rPr>
      <x:t xml:space="preserve">防真实求职者投递）</x:t>
    </x:r>
    <x:r>
      <x:rPr>
        <x:sz val="1000"/>
        <x:color rgb="FF000000"/>
        <x:rFont val="Arial"/>
      </x:rPr>
      <x:t xml:space="preserve">,</x:t>
    </x:r>
    <x:r>
      <x:rPr>
        <x:sz val="1000"/>
        <x:color rgb="FF000000"/>
        <x:rFont val="Noto Sans CJK SC"/>
        <x:family val="2"/>
      </x:rPr>
      <x:t xml:space="preserve">同一变体重复上传 </x:t>
    </x:r>
    <x:r>
      <x:rPr>
        <x:sz val="1000"/>
        <x:color rgb="FF000000"/>
        <x:rFont val="Arial"/>
      </x:rPr>
      <x:t xml:space="preserve">3 </x:t>
    </x:r>
    <x:r>
      <x:rPr>
        <x:sz val="1000"/>
        <x:color rgb="FF000000"/>
        <x:rFont val="Noto Sans CJK SC"/>
        <x:family val="2"/>
      </x:rPr>
      <x:t xml:space="preserve">次为 </x:t>
    </x:r>
    <x:r>
      <x:rPr>
        <x:sz val="1000"/>
        <x:color rgb="FF000000"/>
        <x:rFont val="Arial"/>
      </x:rPr>
      <x:t xml:space="preserve">3 </x:t>
    </x:r>
    <x:r>
      <x:rPr>
        <x:sz val="1000"/>
        <x:color rgb="FF000000"/>
        <x:rFont val="Noto Sans CJK SC"/>
        <x:family val="2"/>
      </x:rPr>
      <x:t xml:space="preserve">个候选人。</x:t>
    </x:r>
  </x:si>
  <x:si>
    <x:r>
      <x:rPr>
        <x:sz val="1000"/>
        <x:color rgb="FF000000"/>
        <x:rFont val="Arial"/>
      </x:rPr>
      <x:t xml:space="preserve">6. </x:t>
    </x:r>
    <x:r>
      <x:rPr>
        <x:sz val="1000"/>
        <x:color rgb="FF000000"/>
        <x:rFont val="Noto Sans CJK SC"/>
        <x:family val="2"/>
      </x:rPr>
      <x:t xml:space="preserve">红线：真实职位页绝不点 </x:t>
    </x:r>
    <x:r>
      <x:rPr>
        <x:sz val="1000"/>
        <x:color rgb="FF000000"/>
        <x:rFont val="Arial"/>
      </x:rPr>
      <x:t xml:space="preserve">Submit</x:t>
    </x:r>
    <x:r>
      <x:rPr>
        <x:sz val="1000"/>
        <x:color rgb="FF000000"/>
        <x:rFont val="Noto Sans CJK SC"/>
        <x:family val="2"/>
      </x:rPr>
      <x:t xml:space="preserve">；全程手动；不伪装采购身份。</x:t>
    </x:r>
  </x:si>
  <x:si>
    <x:t xml:space="preserve">示例行（格式参考，勿抄进 Log）</x:t>
  </x:si>
  <x:si>
    <x:t xml:space="preserve">GH-V03-R2</x:t>
  </x:si>
  <x:si>
    <x:t xml:space="preserve">2026-07-19</x:t>
  </x:si>
  <x:si>
    <x:t xml:space="preserve">stripe</x:t>
  </x:si>
  <x:si>
    <x:t xml:space="preserve">7</x:t>
  </x:si>
  <x:si>
    <x:t xml:space="preserve">partial</x:t>
  </x:si>
  <x:si>
    <x:t xml:space="preserve">GH_stripe_V03_run2_skills.png</x:t>
  </x:si>
  <x:si>
    <x:t xml:space="preserve">图标后的技能词丢失 3 项</x:t>
  </x:si>
  <x:si>
    <x:t xml:space="preserve">期望值表（来自内容冻结文档 2026-07-17）</x:t>
  </x:si>
  <x:si>
    <x:t xml:space="preserve">变体定义（唯一变量原则）</x:t>
  </x:si>
  <x:si>
    <x:t xml:space="preserve">基线/对照组：单栏、Arial 11pt、纯文字、无表格无图标、联系方式在正文首行</x:t>
  </x:si>
  <x:si>
    <x:t xml:space="preserve">工作经历改用表格排版（其余同 V01）</x:t>
  </x:si>
  <x:si>
    <x:t xml:space="preserve">技能列表改用图标/符号（其余同 V01）</x:t>
  </x:si>
  <x:si>
    <x:t xml:space="preserve">双栏布局，左窄右宽（其余同 V01）</x:t>
  </x:si>
  <x:si>
    <x:t xml:space="preserve">全文非常规字体 Montserrat/Garamond（其余同 V01）</x:t>
  </x:si>
  <x:si>
    <x:t xml:space="preserve">联系方式移入页眉，页脚加页码（其余同 V01）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</x:si>
</x:sst>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yyyy-mm-dd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b/>
      <x:sz val="13"/>
      <x:name val="Noto Sans CJK SC"/>
    </x:font>
    <x:font>
      <x:b/>
      <x:sz val="10"/>
      <x:color rgb="FFFFFFFF"/>
      <x:name val="Noto Sans CJK SC"/>
    </x:font>
    <x:font>
      <x:sz val="10"/>
      <x:name val="Arial"/>
    </x:font>
    <x:font>
      <x:sz val="10"/>
      <x:name val="Noto Sans CJK SC"/>
    </x:font>
    <x:font>
      <x:b/>
      <x:sz val="11"/>
      <x:name val="Noto Sans CJK SC"/>
    </x:font>
    <x:font>
      <x:i/>
      <x:sz val="9"/>
      <x:color rgb="FF666666"/>
      <x:name val="Noto Sans CJK SC"/>
    </x:font>
    <x:font>
      <x:b/>
      <x:sz val="10"/>
      <x:color rgb="FFFFFFFF"/>
      <x:name val="Arial"/>
    </x:font>
    <x:font>
      <x:b/>
      <x:sz val="13"/>
      <x:name val="Noto Sans CJK SC"/>
    </x:font>
    <x:font>
      <x:sz val="10"/>
      <x:name val="Noto Sans CJK SC"/>
    </x:font>
    <x:font>
      <x:b/>
      <x:sz val="11"/>
      <x:name val="Arial"/>
    </x:font>
    <x:font>
      <x:sz val="11"/>
      <x:color theme="1"/>
      <x:name val="Noto Sans CJK SC"/>
    </x:font>
    <x:font>
      <x:i/>
      <x:sz val="9"/>
      <x:color rgb="FF666666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2C"/>
      </x:patternFill>
    </x:fill>
    <x:fill>
      <x:patternFill patternType="solid">
        <x:fgColor rgb="FFFFF6CC"/>
      </x:patternFill>
    </x:fill>
    <x:fill>
      <x:patternFill patternType="solid">
        <x:fgColor rgb="FFEAF3EE"/>
      </x:patternFill>
    </x:fill>
    <x:fill>
      <x:patternFill patternType="solid">
        <x:fgColor rgb="FFF2F2F2"/>
      </x:patternFill>
    </x:fill>
  </x:fills>
  <x:borders count="2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6" fillId="2" borderId="0" xfId="0" applyFont="1" applyBorder="0" applyAlignment="1">
      <x:alignment horizontal="center" vertical="bottom" wrapText="0"/>
    </x:xf>
    <x:xf numFmtId="164" fontId="7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general" vertical="bottom" wrapText="0"/>
    </x:xf>
    <x:xf numFmtId="165" fontId="7" fillId="0" borderId="1" xfId="0" applyFont="1" applyBorder="1" applyAlignment="1">
      <x:alignment horizontal="general" vertical="bottom" wrapText="0"/>
    </x:xf>
    <x:xf numFmtId="164" fontId="9" fillId="0" borderId="0" xfId="0" applyFont="1" applyBorder="0" applyAlignment="1">
      <x:alignment horizontal="general" vertical="bottom" wrapText="0"/>
    </x:xf>
    <x:xf numFmtId="164" fontId="10" fillId="0" borderId="0" xfId="0" applyFont="1" applyBorder="0" applyAlignment="1">
      <x:alignment horizontal="general" vertical="bottom" wrapText="0"/>
    </x:xf>
    <x:xf numFmtId="164" fontId="11" fillId="2" borderId="0" xfId="0" applyFont="1" applyBorder="0" applyAlignment="1">
      <x:alignment horizontal="center" vertical="bottom" wrapText="0"/>
    </x:xf>
    <x:xf numFmtId="164" fontId="7" fillId="3" borderId="1" xfId="0" applyFont="1" applyBorder="1" applyAlignment="1">
      <x:alignment horizontal="general" vertical="bottom" wrapText="0"/>
    </x:xf>
    <x:xf numFmtId="164" fontId="7" fillId="4" borderId="1" xfId="0" applyFont="1" applyBorder="1" applyAlignment="1">
      <x:alignment horizontal="general" vertical="bottom" wrapText="0"/>
    </x:xf>
    <x:xf numFmtId="164" fontId="8" fillId="4" borderId="1" xfId="0" applyFont="1" applyBorder="1" applyAlignment="1">
      <x:alignment horizontal="general" vertical="bottom" wrapText="0"/>
    </x:xf>
    <x:xf numFmtId="164" fontId="11" fillId="2" borderId="0" xfId="0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general" vertical="bottom" wrapText="0"/>
    </x:xf>
    <x:xf numFmtId="164" fontId="8" fillId="0" borderId="0" xfId="0" applyFont="1" applyBorder="0" applyAlignment="1">
      <x:alignment horizontal="general" vertical="bottom" wrapText="0"/>
    </x:xf>
    <x:xf numFmtId="164" fontId="12" fillId="0" borderId="0" xfId="0" applyFont="1" applyBorder="0" applyAlignment="1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3" borderId="0" xfId="0" applyFont="1" applyBorder="0" applyAlignment="0">
      <x:alignment horizontal="general" vertical="bottom" wrapText="0"/>
    </x:xf>
    <x:xf numFmtId="164" fontId="15" fillId="0" borderId="0" xfId="0" applyFont="1" applyBorder="0" applyAlignment="1">
      <x:alignment horizontal="general" vertical="bottom" wrapText="0"/>
    </x:xf>
    <x:xf numFmtId="164" fontId="14" fillId="3" borderId="0" xfId="0" applyFont="1" applyBorder="0" applyAlignment="1">
      <x:alignment horizontal="general" vertical="bottom" wrapText="0"/>
    </x:xf>
    <x:xf numFmtId="164" fontId="16" fillId="0" borderId="0" xfId="0" applyFont="1" applyBorder="0" applyAlignment="1">
      <x:alignment horizontal="general" vertical="bottom" wrapText="0"/>
    </x:xf>
    <x:xf numFmtId="164" fontId="7" fillId="5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0"/>
    </x:xf>
    <x:xf numFmtId="164" fontId="17" fillId="0" borderId="0" xfId="0" applyFont="1" applyBorder="0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6CC"/>
      <x:rgbColor rgb="FFEAF3EE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3B2C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f0f16aec043b4" /><Relationship Type="http://schemas.openxmlformats.org/officeDocument/2006/relationships/theme" Target="/xl/theme/theme1.xml" Id="Rf5efc67b19e4456c" /><Relationship Type="http://schemas.openxmlformats.org/officeDocument/2006/relationships/sharedStrings" Target="/xl/sharedStrings.xml" Id="R98eb71565b5d4225" /><Relationship Type="http://schemas.openxmlformats.org/officeDocument/2006/relationships/worksheet" Target="/xl/worksheets/sheet1.xml" Id="Rfe3d2e1581584a09" /><Relationship Type="http://schemas.openxmlformats.org/officeDocument/2006/relationships/worksheet" Target="/xl/worksheets/sheet2.xml" Id="R857977a250254af5" /><Relationship Type="http://schemas.openxmlformats.org/officeDocument/2006/relationships/worksheet" Target="/xl/worksheets/sheet3.xml" Id="Rd5944204406241d8" /><Relationship Type="http://schemas.openxmlformats.org/officeDocument/2006/relationships/worksheet" Target="/xl/worksheets/sheet4.xml" Id="Rcf2500f08a77439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8" style="1" hidden="0" customWidth="1"/>
    <x:col min="3" max="3" width="34" style="1" hidden="0" customWidth="1"/>
    <x:col min="4" max="4" width="16" style="1" hidden="0" customWidth="1"/>
    <x:col min="5" max="5" width="12" style="1" hidden="0" customWidth="1"/>
    <x:col min="6" max="6" width="10" style="1" hidden="0" customWidth="1"/>
    <x:col min="7" max="7" width="26" style="1" hidden="0" customWidth="1"/>
  </x:cols>
  <x:sheetData>
    <x:row r="1" ht="19.5" hidden="0" customHeight="1">
      <x:c r="A1" s="2" t="s">
        <x:v>0</x:v>
      </x:c>
    </x:row>
    <x:row r="3" ht="15" hidden="0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</x:row>
    <x:row r="4" ht="15" hidden="0" customHeight="1">
      <x:c r="A4" s="4" t="str">
        <x:f aca="0">Reference!$B$2</x:f>
        <x:v>WK</x:v>
      </x:c>
      <x:c r="B4" s="4" t="s">
        <x:v>8</x:v>
      </x:c>
      <x:c r="C4" s="5" t="s">
        <x:v>9</x:v>
      </x:c>
      <x:c r="D4" s="4" t="n">
        <x:f aca="0">COUNTIFS(Calc!$A$2:$A$121,$A4,Calc!$B$2:$B$121,$B4,Calc!$G$2:$G$121,1)</x:f>
        <x:v>0</x:v>
      </x:c>
      <x:c r="E4" s="4" t="n">
        <x:f aca="0">COUNTIFS(Calc!$A$2:$A$121,$A4,Calc!$B$2:$B$121,$B4,Calc!$H$2:$H$121,1)</x:f>
        <x:v>0</x:v>
      </x:c>
      <x:c r="F4" s="6" t="str">
        <x:f aca="0">IF(D4=0,"",E4/D4)</x:f>
      </x:c>
      <x:c r="G4" s="4" t="str">
        <x:f aca="0">IF(D4&lt;10,"进行中 "&amp;D4&amp;"/10",IF(F4&gt;=0.9,"✅ 通过","❌ 未达标"))</x:f>
        <x:v>进行中 0/10</x:v>
      </x:c>
    </x:row>
    <x:row r="5" ht="15" hidden="0" customHeight="1">
      <x:c r="A5" s="4" t="str">
        <x:f aca="0">Reference!$B$2</x:f>
        <x:v>WK</x:v>
      </x:c>
      <x:c r="B5" s="4" t="s">
        <x:v>10</x:v>
      </x:c>
      <x:c r="C5" s="5" t="s">
        <x:v>11</x:v>
      </x:c>
      <x:c r="D5" s="4" t="n">
        <x:f aca="0">COUNTIFS(Calc!$A$2:$A$121,$A5,Calc!$B$2:$B$121,$B5,Calc!$G$2:$G$121,1)</x:f>
        <x:v>0</x:v>
      </x:c>
      <x:c r="E5" s="4" t="n">
        <x:f aca="0">COUNTIFS(Calc!$A$2:$A$121,$A5,Calc!$B$2:$B$121,$B5,Calc!$H$2:$H$121,1)</x:f>
        <x:v>0</x:v>
      </x:c>
      <x:c r="F5" s="6" t="str">
        <x:f aca="0">IF(D5=0,"",E5/D5)</x:f>
      </x:c>
      <x:c r="G5" s="4" t="str">
        <x:f aca="0">IF(D5&lt;10,"进行中 "&amp;D5&amp;"/10",IF(F5&gt;=0.9,"✅ 通过","❌ 未达标"))</x:f>
        <x:v>进行中 0/10</x:v>
      </x:c>
    </x:row>
    <x:row r="6" ht="15" hidden="0" customHeight="1">
      <x:c r="A6" s="4" t="str">
        <x:f aca="0">Reference!$B$2</x:f>
        <x:v>WK</x:v>
      </x:c>
      <x:c r="B6" s="4" t="s">
        <x:v>12</x:v>
      </x:c>
      <x:c r="C6" s="5" t="s">
        <x:v>13</x:v>
      </x:c>
      <x:c r="D6" s="4" t="n">
        <x:f aca="0">COUNTIFS(Calc!$A$2:$A$121,$A6,Calc!$B$2:$B$121,$B6,Calc!$G$2:$G$121,1)</x:f>
        <x:v>0</x:v>
      </x:c>
      <x:c r="E6" s="4" t="n">
        <x:f aca="0">COUNTIFS(Calc!$A$2:$A$121,$A6,Calc!$B$2:$B$121,$B6,Calc!$H$2:$H$121,1)</x:f>
        <x:v>0</x:v>
      </x:c>
      <x:c r="F6" s="6" t="str">
        <x:f aca="0">IF(D6=0,"",E6/D6)</x:f>
      </x:c>
      <x:c r="G6" s="4" t="str">
        <x:f aca="0">IF(D6&lt;10,"进行中 "&amp;D6&amp;"/10",IF(F6&gt;=0.9,"✅ 通过","❌ 未达标"))</x:f>
        <x:v>进行中 0/10</x:v>
      </x:c>
    </x:row>
    <x:row r="7" ht="15" hidden="0" customHeight="1">
      <x:c r="A7" s="4" t="str">
        <x:f aca="0">Reference!$B$2</x:f>
        <x:v>WK</x:v>
      </x:c>
      <x:c r="B7" s="4" t="s">
        <x:v>14</x:v>
      </x:c>
      <x:c r="C7" s="5" t="s">
        <x:v>15</x:v>
      </x:c>
      <x:c r="D7" s="4" t="n">
        <x:f aca="0">COUNTIFS(Calc!$A$2:$A$121,$A7,Calc!$B$2:$B$121,$B7,Calc!$G$2:$G$121,1)</x:f>
        <x:v>0</x:v>
      </x:c>
      <x:c r="E7" s="4" t="n">
        <x:f aca="0">COUNTIFS(Calc!$A$2:$A$121,$A7,Calc!$B$2:$B$121,$B7,Calc!$H$2:$H$121,1)</x:f>
        <x:v>0</x:v>
      </x:c>
      <x:c r="F7" s="6" t="str">
        <x:f aca="0">IF(D7=0,"",E7/D7)</x:f>
      </x:c>
      <x:c r="G7" s="4" t="str">
        <x:f aca="0">IF(D7&lt;10,"进行中 "&amp;D7&amp;"/10",IF(F7&gt;=0.9,"✅ 通过","❌ 未达标"))</x:f>
        <x:v>进行中 0/10</x:v>
      </x:c>
    </x:row>
    <x:row r="8" ht="15" hidden="0" customHeight="1">
      <x:c r="A8" s="4" t="str">
        <x:f aca="0">Reference!$B$2</x:f>
        <x:v>WK</x:v>
      </x:c>
      <x:c r="B8" s="4" t="s">
        <x:v>16</x:v>
      </x:c>
      <x:c r="C8" s="5" t="s">
        <x:v>17</x:v>
      </x:c>
      <x:c r="D8" s="4" t="n">
        <x:f aca="0">COUNTIFS(Calc!$A$2:$A$121,$A8,Calc!$B$2:$B$121,$B8,Calc!$G$2:$G$121,1)</x:f>
        <x:v>0</x:v>
      </x:c>
      <x:c r="E8" s="4" t="n">
        <x:f aca="0">COUNTIFS(Calc!$A$2:$A$121,$A8,Calc!$B$2:$B$121,$B8,Calc!$H$2:$H$121,1)</x:f>
        <x:v>0</x:v>
      </x:c>
      <x:c r="F8" s="6" t="str">
        <x:f aca="0">IF(D8=0,"",E8/D8)</x:f>
      </x:c>
      <x:c r="G8" s="4" t="str">
        <x:f aca="0">IF(D8&lt;10,"进行中 "&amp;D8&amp;"/10",IF(F8&gt;=0.9,"✅ 通过","❌ 未达标"))</x:f>
        <x:v>进行中 0/10</x:v>
      </x:c>
    </x:row>
    <x:row r="9" ht="15" hidden="0" customHeight="1">
      <x:c r="A9" s="4" t="str">
        <x:f aca="0">Reference!$B$2</x:f>
        <x:v>WK</x:v>
      </x:c>
      <x:c r="B9" s="4" t="s">
        <x:v>18</x:v>
      </x:c>
      <x:c r="C9" s="5" t="s">
        <x:v>19</x:v>
      </x:c>
      <x:c r="D9" s="4" t="n">
        <x:f aca="0">COUNTIFS(Calc!$A$2:$A$121,$A9,Calc!$B$2:$B$121,$B9,Calc!$G$2:$G$121,1)</x:f>
        <x:v>0</x:v>
      </x:c>
      <x:c r="E9" s="4" t="n">
        <x:f aca="0">COUNTIFS(Calc!$A$2:$A$121,$A9,Calc!$B$2:$B$121,$B9,Calc!$H$2:$H$121,1)</x:f>
        <x:v>0</x:v>
      </x:c>
      <x:c r="F9" s="6" t="str">
        <x:f aca="0">IF(D9=0,"",E9/D9)</x:f>
      </x:c>
      <x:c r="G9" s="4" t="str">
        <x:f aca="0">IF(D9&lt;10,"进行中 "&amp;D9&amp;"/10",IF(F9&gt;=0.9,"✅ 通过","❌ 未达标"))</x:f>
        <x:v>进行中 0/10</x:v>
      </x:c>
    </x:row>
    <x:row r="10" ht="15" hidden="0" customHeight="1">
      <x:c r="A10" s="4" t="str">
        <x:f aca="0">Reference!$B$3</x:f>
        <x:v>RC</x:v>
      </x:c>
      <x:c r="B10" s="4" t="s">
        <x:v>8</x:v>
      </x:c>
      <x:c r="C10" s="5" t="s">
        <x:v>9</x:v>
      </x:c>
      <x:c r="D10" s="4" t="n">
        <x:f aca="0">COUNTIFS(Calc!$A$2:$A$121,$A10,Calc!$B$2:$B$121,$B10,Calc!$G$2:$G$121,1)</x:f>
        <x:v>0</x:v>
      </x:c>
      <x:c r="E10" s="4" t="n">
        <x:f aca="0">COUNTIFS(Calc!$A$2:$A$121,$A10,Calc!$B$2:$B$121,$B10,Calc!$H$2:$H$121,1)</x:f>
        <x:v>0</x:v>
      </x:c>
      <x:c r="F10" s="6" t="str">
        <x:f aca="0">IF(D10=0,"",E10/D10)</x:f>
      </x:c>
      <x:c r="G10" s="4" t="str">
        <x:f aca="0">IF(D10&lt;10,"进行中 "&amp;D10&amp;"/10",IF(F10&gt;=0.9,"✅ 通过","❌ 未达标"))</x:f>
        <x:v>进行中 0/10</x:v>
      </x:c>
    </x:row>
    <x:row r="11" ht="15" hidden="0" customHeight="1">
      <x:c r="A11" s="4" t="str">
        <x:f aca="0">Reference!$B$3</x:f>
        <x:v>RC</x:v>
      </x:c>
      <x:c r="B11" s="4" t="s">
        <x:v>10</x:v>
      </x:c>
      <x:c r="C11" s="5" t="s">
        <x:v>11</x:v>
      </x:c>
      <x:c r="D11" s="4" t="n">
        <x:f aca="0">COUNTIFS(Calc!$A$2:$A$121,$A11,Calc!$B$2:$B$121,$B11,Calc!$G$2:$G$121,1)</x:f>
        <x:v>0</x:v>
      </x:c>
      <x:c r="E11" s="4" t="n">
        <x:f aca="0">COUNTIFS(Calc!$A$2:$A$121,$A11,Calc!$B$2:$B$121,$B11,Calc!$H$2:$H$121,1)</x:f>
        <x:v>0</x:v>
      </x:c>
      <x:c r="F11" s="6" t="str">
        <x:f aca="0">IF(D11=0,"",E11/D11)</x:f>
      </x:c>
      <x:c r="G11" s="4" t="str">
        <x:f aca="0">IF(D11&lt;10,"进行中 "&amp;D11&amp;"/10",IF(F11&gt;=0.9,"✅ 通过","❌ 未达标"))</x:f>
        <x:v>进行中 0/10</x:v>
      </x:c>
    </x:row>
    <x:row r="12" ht="15" hidden="0" customHeight="1">
      <x:c r="A12" s="4" t="str">
        <x:f aca="0">Reference!$B$3</x:f>
        <x:v>RC</x:v>
      </x:c>
      <x:c r="B12" s="4" t="s">
        <x:v>12</x:v>
      </x:c>
      <x:c r="C12" s="5" t="s">
        <x:v>13</x:v>
      </x:c>
      <x:c r="D12" s="4" t="n">
        <x:f aca="0">COUNTIFS(Calc!$A$2:$A$121,$A12,Calc!$B$2:$B$121,$B12,Calc!$G$2:$G$121,1)</x:f>
        <x:v>0</x:v>
      </x:c>
      <x:c r="E12" s="4" t="n">
        <x:f aca="0">COUNTIFS(Calc!$A$2:$A$121,$A12,Calc!$B$2:$B$121,$B12,Calc!$H$2:$H$121,1)</x:f>
        <x:v>0</x:v>
      </x:c>
      <x:c r="F12" s="6" t="str">
        <x:f aca="0">IF(D12=0,"",E12/D12)</x:f>
      </x:c>
      <x:c r="G12" s="4" t="str">
        <x:f aca="0">IF(D12&lt;10,"进行中 "&amp;D12&amp;"/10",IF(F12&gt;=0.9,"✅ 通过","❌ 未达标"))</x:f>
        <x:v>进行中 0/10</x:v>
      </x:c>
    </x:row>
    <x:row r="13" ht="15" hidden="0" customHeight="1">
      <x:c r="A13" s="4" t="str">
        <x:f aca="0">Reference!$B$3</x:f>
        <x:v>RC</x:v>
      </x:c>
      <x:c r="B13" s="4" t="s">
        <x:v>14</x:v>
      </x:c>
      <x:c r="C13" s="5" t="s">
        <x:v>15</x:v>
      </x:c>
      <x:c r="D13" s="4" t="n">
        <x:f aca="0">COUNTIFS(Calc!$A$2:$A$121,$A13,Calc!$B$2:$B$121,$B13,Calc!$G$2:$G$121,1)</x:f>
        <x:v>0</x:v>
      </x:c>
      <x:c r="E13" s="4" t="n">
        <x:f aca="0">COUNTIFS(Calc!$A$2:$A$121,$A13,Calc!$B$2:$B$121,$B13,Calc!$H$2:$H$121,1)</x:f>
        <x:v>0</x:v>
      </x:c>
      <x:c r="F13" s="6" t="str">
        <x:f aca="0">IF(D13=0,"",E13/D13)</x:f>
      </x:c>
      <x:c r="G13" s="4" t="str">
        <x:f aca="0">IF(D13&lt;10,"进行中 "&amp;D13&amp;"/10",IF(F13&gt;=0.9,"✅ 通过","❌ 未达标"))</x:f>
        <x:v>进行中 0/10</x:v>
      </x:c>
    </x:row>
    <x:row r="14" ht="15" hidden="0" customHeight="1">
      <x:c r="A14" s="4" t="str">
        <x:f aca="0">Reference!$B$3</x:f>
        <x:v>RC</x:v>
      </x:c>
      <x:c r="B14" s="4" t="s">
        <x:v>16</x:v>
      </x:c>
      <x:c r="C14" s="5" t="s">
        <x:v>17</x:v>
      </x:c>
      <x:c r="D14" s="4" t="n">
        <x:f aca="0">COUNTIFS(Calc!$A$2:$A$121,$A14,Calc!$B$2:$B$121,$B14,Calc!$G$2:$G$121,1)</x:f>
        <x:v>0</x:v>
      </x:c>
      <x:c r="E14" s="4" t="n">
        <x:f aca="0">COUNTIFS(Calc!$A$2:$A$121,$A14,Calc!$B$2:$B$121,$B14,Calc!$H$2:$H$121,1)</x:f>
        <x:v>0</x:v>
      </x:c>
      <x:c r="F14" s="6" t="str">
        <x:f aca="0">IF(D14=0,"",E14/D14)</x:f>
      </x:c>
      <x:c r="G14" s="4" t="str">
        <x:f aca="0">IF(D14&lt;10,"进行中 "&amp;D14&amp;"/10",IF(F14&gt;=0.9,"✅ 通过","❌ 未达标"))</x:f>
        <x:v>进行中 0/10</x:v>
      </x:c>
    </x:row>
    <x:row r="15" ht="15" hidden="0" customHeight="1">
      <x:c r="A15" s="4" t="str">
        <x:f aca="0">Reference!$B$3</x:f>
        <x:v>RC</x:v>
      </x:c>
      <x:c r="B15" s="4" t="s">
        <x:v>18</x:v>
      </x:c>
      <x:c r="C15" s="5" t="s">
        <x:v>19</x:v>
      </x:c>
      <x:c r="D15" s="4" t="n">
        <x:f aca="0">COUNTIFS(Calc!$A$2:$A$121,$A15,Calc!$B$2:$B$121,$B15,Calc!$G$2:$G$121,1)</x:f>
        <x:v>0</x:v>
      </x:c>
      <x:c r="E15" s="4" t="n">
        <x:f aca="0">COUNTIFS(Calc!$A$2:$A$121,$A15,Calc!$B$2:$B$121,$B15,Calc!$H$2:$H$121,1)</x:f>
        <x:v>0</x:v>
      </x:c>
      <x:c r="F15" s="6" t="str">
        <x:f aca="0">IF(D15=0,"",E15/D15)</x:f>
      </x:c>
      <x:c r="G15" s="4" t="str">
        <x:f aca="0">IF(D15&lt;10,"进行中 "&amp;D15&amp;"/10",IF(F15&gt;=0.9,"✅ 通过","❌ 未达标"))</x:f>
        <x:v>进行中 0/10</x:v>
      </x:c>
    </x:row>
    <x:row r="17" ht="15" hidden="0" customHeight="1">
      <x:c r="A17" s="7" t="s">
        <x:v>20</x:v>
      </x:c>
      <x:c r="B17" s="7" t="str">
        <x:f aca="0">IF(COUNTIF(G4:G15,"✅ 通过")=12,"✅ 技术门通过 → 进入 fake-door 阶段",IF(COUNTIF(G4:G15,"❌*")&gt;0,"❌ 存在未达标组合 → 定位噪音源或触发回退评估","进行中"))</x:f>
        <x:v>进行中</x:v>
      </x:c>
    </x:row>
    <x:row r="19" ht="15" hidden="0" customHeight="1">
      <x:c r="A19" s="8" t="s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style="1" hidden="0" customWidth="1"/>
    <x:col min="2" max="2" width="11" style="1" hidden="0" customWidth="1"/>
    <x:col min="3" max="3" width="6" style="1" hidden="0" customWidth="1"/>
    <x:col min="4" max="4" width="14" style="1" hidden="0" customWidth="1"/>
    <x:col min="5" max="5" width="10" style="1" hidden="0" customWidth="1"/>
    <x:col min="6" max="6" width="8" style="1" hidden="0" customWidth="1"/>
    <x:col min="7" max="7" width="14" style="1" hidden="0" customWidth="1"/>
    <x:col min="8" max="9" width="38" style="1" hidden="0" customWidth="1"/>
    <x:col min="10" max="10" width="8" style="1" hidden="0" customWidth="1"/>
    <x:col min="11" max="11" width="30" style="1" hidden="0" customWidth="1"/>
    <x:col min="12" max="12" width="26" style="1" hidden="0" customWidth="1"/>
    <x:col min="13" max="13" width="4" style="1" hidden="1" customWidth="1"/>
  </x:cols>
  <x:sheetData>
    <x:row r="1" ht="15" hidden="0" customHeight="1">
      <x:c r="A1" s="9" t="s">
        <x:v>22</x:v>
      </x:c>
      <x:c r="B1" s="9" t="s">
        <x:v>23</x:v>
      </x:c>
      <x:c r="C1" s="9" t="s">
        <x:v>24</x:v>
      </x:c>
      <x:c r="D1" s="9" t="s">
        <x:v>25</x:v>
      </x:c>
      <x:c r="E1" s="9" t="s">
        <x:v>26</x:v>
      </x:c>
      <x:c r="F1" s="9" t="s">
        <x:v>27</x:v>
      </x:c>
      <x:c r="G1" s="9" t="s">
        <x:v>28</x:v>
      </x:c>
      <x:c r="H1" s="9" t="s">
        <x:v>29</x:v>
      </x:c>
      <x:c r="I1" s="9" t="s">
        <x:v>30</x:v>
      </x:c>
      <x:c r="J1" s="9" t="s">
        <x:v>31</x:v>
      </x:c>
      <x:c r="K1" s="9" t="s">
        <x:v>32</x:v>
      </x:c>
      <x:c r="L1" s="9" t="s">
        <x:v>33</x:v>
      </x:c>
      <x:c r="M1" s="9" t="s">
        <x:v>34</x:v>
      </x:c>
    </x:row>
    <x:row r="2" ht="16.5" hidden="0" customHeight="1">
      <x:c r="A2" s="4" t="str">
        <x:f aca="0">C2&amp;"-"&amp;E2&amp;"-R"&amp;F2</x:f>
        <x:v>WK-V01-R1</x:v>
      </x:c>
      <x:c r="B2" s="10"/>
      <x:c r="C2" s="4" t="str">
        <x:f aca="0">Reference!$B$2</x:f>
        <x:v>WK</x:v>
      </x:c>
      <x:c r="D2" s="10"/>
      <x:c r="E2" s="4" t="s">
        <x:v>8</x:v>
      </x:c>
      <x:c r="F2" s="4" t="n">
        <x:v>1</x:v>
      </x:c>
      <x:c r="G2" s="5" t="s">
        <x:v>35</x:v>
      </x:c>
      <x:c r="H2" s="4" t="s">
        <x:v>36</x:v>
      </x:c>
      <x:c r="I2" s="10"/>
      <x:c r="J2" s="10"/>
      <x:c r="K2" s="10"/>
      <x:c r="L2" s="10"/>
      <x:c r="M2" s="1" t="str">
        <x:f aca="0">C2&amp;"|"&amp;E2&amp;"|"&amp;F2&amp;"|"&amp;G2</x:f>
        <x:v>WK|V01|1|姓名</x:v>
      </x:c>
    </x:row>
    <x:row r="3" ht="16.5" hidden="0" customHeight="1">
      <x:c r="A3" s="4" t="str">
        <x:f aca="0">C3&amp;"-"&amp;E3&amp;"-R"&amp;F3</x:f>
        <x:v>WK-V01-R1</x:v>
      </x:c>
      <x:c r="B3" s="10"/>
      <x:c r="C3" s="4" t="str">
        <x:f aca="0">Reference!$B$2</x:f>
        <x:v>WK</x:v>
      </x:c>
      <x:c r="D3" s="10"/>
      <x:c r="E3" s="4" t="s">
        <x:v>8</x:v>
      </x:c>
      <x:c r="F3" s="4" t="n">
        <x:v>1</x:v>
      </x:c>
      <x:c r="G3" s="5" t="s">
        <x:v>37</x:v>
      </x:c>
      <x:c r="H3" s="4" t="s">
        <x:v>38</x:v>
      </x:c>
      <x:c r="I3" s="10"/>
      <x:c r="J3" s="10"/>
      <x:c r="K3" s="10"/>
      <x:c r="L3" s="10"/>
      <x:c r="M3" s="1" t="str">
        <x:f aca="0">C3&amp;"|"&amp;E3&amp;"|"&amp;F3&amp;"|"&amp;G3</x:f>
        <x:v>WK|V01|1|邮箱</x:v>
      </x:c>
    </x:row>
    <x:row r="4" ht="16.5" hidden="0" customHeight="1">
      <x:c r="A4" s="4" t="str">
        <x:f aca="0">C4&amp;"-"&amp;E4&amp;"-R"&amp;F4</x:f>
        <x:v>WK-V01-R1</x:v>
      </x:c>
      <x:c r="B4" s="10"/>
      <x:c r="C4" s="4" t="str">
        <x:f aca="0">Reference!$B$2</x:f>
        <x:v>WK</x:v>
      </x:c>
      <x:c r="D4" s="10"/>
      <x:c r="E4" s="4" t="s">
        <x:v>8</x:v>
      </x:c>
      <x:c r="F4" s="4" t="n">
        <x:v>1</x:v>
      </x:c>
      <x:c r="G4" s="5" t="s">
        <x:v>39</x:v>
      </x:c>
      <x:c r="H4" s="4" t="s">
        <x:v>40</x:v>
      </x:c>
      <x:c r="I4" s="10"/>
      <x:c r="J4" s="10"/>
      <x:c r="K4" s="10"/>
      <x:c r="L4" s="10"/>
      <x:c r="M4" s="1" t="str">
        <x:f aca="0">C4&amp;"|"&amp;E4&amp;"|"&amp;F4&amp;"|"&amp;G4</x:f>
        <x:v>WK|V01|1|电话</x:v>
      </x:c>
    </x:row>
    <x:row r="5" ht="16.5" hidden="0" customHeight="1">
      <x:c r="A5" s="4" t="str">
        <x:f aca="0">C5&amp;"-"&amp;E5&amp;"-R"&amp;F5</x:f>
        <x:v>WK-V01-R1</x:v>
      </x:c>
      <x:c r="B5" s="10"/>
      <x:c r="C5" s="4" t="str">
        <x:f aca="0">Reference!$B$2</x:f>
        <x:v>WK</x:v>
      </x:c>
      <x:c r="D5" s="10"/>
      <x:c r="E5" s="4" t="s">
        <x:v>8</x:v>
      </x:c>
      <x:c r="F5" s="4" t="n">
        <x:v>1</x:v>
      </x:c>
      <x:c r="G5" s="5" t="s">
        <x:v>41</x:v>
      </x:c>
      <x:c r="H5" s="4" t="s">
        <x:v>42</x:v>
      </x:c>
      <x:c r="I5" s="10"/>
      <x:c r="J5" s="10"/>
      <x:c r="K5" s="10"/>
      <x:c r="L5" s="10"/>
      <x:c r="M5" s="1" t="str">
        <x:f aca="0">C5&amp;"|"&amp;E5&amp;"|"&amp;F5&amp;"|"&amp;G5</x:f>
        <x:v>WK|V01|1|城市</x:v>
      </x:c>
    </x:row>
    <x:row r="6" ht="16.5" hidden="0" customHeight="1">
      <x:c r="A6" s="4" t="str">
        <x:f aca="0">C6&amp;"-"&amp;E6&amp;"-R"&amp;F6</x:f>
        <x:v>WK-V01-R1</x:v>
      </x:c>
      <x:c r="B6" s="10"/>
      <x:c r="C6" s="4" t="str">
        <x:f aca="0">Reference!$B$2</x:f>
        <x:v>WK</x:v>
      </x:c>
      <x:c r="D6" s="10"/>
      <x:c r="E6" s="4" t="s">
        <x:v>8</x:v>
      </x:c>
      <x:c r="F6" s="4" t="n">
        <x:v>1</x:v>
      </x:c>
      <x:c r="G6" s="5" t="s">
        <x:v>43</x:v>
      </x:c>
      <x:c r="H6" s="4" t="s">
        <x:v>44</x:v>
      </x:c>
      <x:c r="I6" s="10"/>
      <x:c r="J6" s="10"/>
      <x:c r="K6" s="10"/>
      <x:c r="L6" s="10"/>
      <x:c r="M6" s="1" t="str">
        <x:f aca="0">C6&amp;"|"&amp;E6&amp;"|"&amp;F6&amp;"|"&amp;G6</x:f>
        <x:v>WK|V01|1|最近公司</x:v>
      </x:c>
    </x:row>
    <x:row r="7" ht="16.5" hidden="0" customHeight="1">
      <x:c r="A7" s="4" t="str">
        <x:f aca="0">C7&amp;"-"&amp;E7&amp;"-R"&amp;F7</x:f>
        <x:v>WK-V01-R1</x:v>
      </x:c>
      <x:c r="B7" s="10"/>
      <x:c r="C7" s="4" t="str">
        <x:f aca="0">Reference!$B$2</x:f>
        <x:v>WK</x:v>
      </x:c>
      <x:c r="D7" s="10"/>
      <x:c r="E7" s="4" t="s">
        <x:v>8</x:v>
      </x:c>
      <x:c r="F7" s="4" t="n">
        <x:v>1</x:v>
      </x:c>
      <x:c r="G7" s="5" t="s">
        <x:v>45</x:v>
      </x:c>
      <x:c r="H7" s="4" t="s">
        <x:v>46</x:v>
      </x:c>
      <x:c r="I7" s="10"/>
      <x:c r="J7" s="10"/>
      <x:c r="K7" s="10"/>
      <x:c r="L7" s="10"/>
      <x:c r="M7" s="1" t="str">
        <x:f aca="0">C7&amp;"|"&amp;E7&amp;"|"&amp;F7&amp;"|"&amp;G7</x:f>
        <x:v>WK|V01|1|最近职位头衔</x:v>
      </x:c>
    </x:row>
    <x:row r="8" ht="16.5" hidden="0" customHeight="1">
      <x:c r="A8" s="4" t="str">
        <x:f aca="0">C8&amp;"-"&amp;E8&amp;"-R"&amp;F8</x:f>
        <x:v>WK-V01-R1</x:v>
      </x:c>
      <x:c r="B8" s="10"/>
      <x:c r="C8" s="4" t="str">
        <x:f aca="0">Reference!$B$2</x:f>
        <x:v>WK</x:v>
      </x:c>
      <x:c r="D8" s="10"/>
      <x:c r="E8" s="4" t="s">
        <x:v>8</x:v>
      </x:c>
      <x:c r="F8" s="4" t="n">
        <x:v>1</x:v>
      </x:c>
      <x:c r="G8" s="5" t="s">
        <x:v>47</x:v>
      </x:c>
      <x:c r="H8" s="4" t="s">
        <x:v>48</x:v>
      </x:c>
      <x:c r="I8" s="10"/>
      <x:c r="J8" s="10"/>
      <x:c r="K8" s="10"/>
      <x:c r="L8" s="10"/>
      <x:c r="M8" s="1" t="str">
        <x:f aca="0">C8&amp;"|"&amp;E8&amp;"|"&amp;F8&amp;"|"&amp;G8</x:f>
        <x:v>WK|V01|1|工作经历条数</x:v>
      </x:c>
    </x:row>
    <x:row r="9" ht="16.5" hidden="0" customHeight="1">
      <x:c r="A9" s="4" t="str">
        <x:f aca="0">C9&amp;"-"&amp;E9&amp;"-R"&amp;F9</x:f>
        <x:v>WK-V01-R1</x:v>
      </x:c>
      <x:c r="B9" s="10"/>
      <x:c r="C9" s="4" t="str">
        <x:f aca="0">Reference!$B$2</x:f>
        <x:v>WK</x:v>
      </x:c>
      <x:c r="D9" s="10"/>
      <x:c r="E9" s="4" t="s">
        <x:v>8</x:v>
      </x:c>
      <x:c r="F9" s="4" t="n">
        <x:v>1</x:v>
      </x:c>
      <x:c r="G9" s="5" t="s">
        <x:v>49</x:v>
      </x:c>
      <x:c r="H9" s="4" t="s">
        <x:v>50</x:v>
      </x:c>
      <x:c r="I9" s="10"/>
      <x:c r="J9" s="10"/>
      <x:c r="K9" s="10"/>
      <x:c r="L9" s="10"/>
      <x:c r="M9" s="1" t="str">
        <x:f aca="0">C9&amp;"|"&amp;E9&amp;"|"&amp;F9&amp;"|"&amp;G9</x:f>
        <x:v>WK|V01|1|起止日期</x:v>
      </x:c>
    </x:row>
    <x:row r="10" ht="16.5" hidden="0" customHeight="1">
      <x:c r="A10" s="4" t="str">
        <x:f aca="0">C10&amp;"-"&amp;E10&amp;"-R"&amp;F10</x:f>
        <x:v>WK-V01-R1</x:v>
      </x:c>
      <x:c r="B10" s="10"/>
      <x:c r="C10" s="4" t="str">
        <x:f aca="0">Reference!$B$2</x:f>
        <x:v>WK</x:v>
      </x:c>
      <x:c r="D10" s="10"/>
      <x:c r="E10" s="4" t="s">
        <x:v>8</x:v>
      </x:c>
      <x:c r="F10" s="4" t="n">
        <x:v>1</x:v>
      </x:c>
      <x:c r="G10" s="5" t="s">
        <x:v>51</x:v>
      </x:c>
      <x:c r="H10" s="4" t="s">
        <x:v>52</x:v>
      </x:c>
      <x:c r="I10" s="10"/>
      <x:c r="J10" s="10"/>
      <x:c r="K10" s="10"/>
      <x:c r="L10" s="10"/>
      <x:c r="M10" s="1" t="str">
        <x:f aca="0">C10&amp;"|"&amp;E10&amp;"|"&amp;F10&amp;"|"&amp;G10</x:f>
        <x:v>WK|V01|1|教育背景</x:v>
      </x:c>
    </x:row>
    <x:row r="11" ht="16.5" hidden="0" customHeight="1">
      <x:c r="A11" s="4" t="str">
        <x:f aca="0">C11&amp;"-"&amp;E11&amp;"-R"&amp;F11</x:f>
        <x:v>WK-V01-R1</x:v>
      </x:c>
      <x:c r="B11" s="10"/>
      <x:c r="C11" s="4" t="str">
        <x:f aca="0">Reference!$B$2</x:f>
        <x:v>WK</x:v>
      </x:c>
      <x:c r="D11" s="10"/>
      <x:c r="E11" s="4" t="s">
        <x:v>8</x:v>
      </x:c>
      <x:c r="F11" s="4" t="n">
        <x:v>1</x:v>
      </x:c>
      <x:c r="G11" s="5" t="s">
        <x:v>53</x:v>
      </x:c>
      <x:c r="H11" s="4" t="s">
        <x:v>54</x:v>
      </x:c>
      <x:c r="I11" s="10"/>
      <x:c r="J11" s="10"/>
      <x:c r="K11" s="10"/>
      <x:c r="L11" s="10"/>
      <x:c r="M11" s="1" t="str">
        <x:f aca="0">C11&amp;"|"&amp;E11&amp;"|"&amp;F11&amp;"|"&amp;G11</x:f>
        <x:v>WK|V01|1|技能识别数量</x:v>
      </x:c>
    </x:row>
    <x:row r="12" ht="16.5" hidden="0" customHeight="1">
      <x:c r="A12" s="4" t="str">
        <x:f aca="0">C12&amp;"-"&amp;E12&amp;"-R"&amp;F12</x:f>
        <x:v>WK-V01-R2</x:v>
      </x:c>
      <x:c r="B12" s="10"/>
      <x:c r="C12" s="4" t="str">
        <x:f aca="0">Reference!$B$2</x:f>
        <x:v>WK</x:v>
      </x:c>
      <x:c r="D12" s="10"/>
      <x:c r="E12" s="4" t="s">
        <x:v>8</x:v>
      </x:c>
      <x:c r="F12" s="4" t="n">
        <x:v>2</x:v>
      </x:c>
      <x:c r="G12" s="5" t="s">
        <x:v>35</x:v>
      </x:c>
      <x:c r="H12" s="4" t="s">
        <x:v>36</x:v>
      </x:c>
      <x:c r="I12" s="10"/>
      <x:c r="J12" s="10"/>
      <x:c r="K12" s="10"/>
      <x:c r="L12" s="10"/>
      <x:c r="M12" s="1" t="str">
        <x:f aca="0">C12&amp;"|"&amp;E12&amp;"|"&amp;F12&amp;"|"&amp;G12</x:f>
        <x:v>WK|V01|2|姓名</x:v>
      </x:c>
    </x:row>
    <x:row r="13" ht="16.5" hidden="0" customHeight="1">
      <x:c r="A13" s="4" t="str">
        <x:f aca="0">C13&amp;"-"&amp;E13&amp;"-R"&amp;F13</x:f>
        <x:v>WK-V01-R2</x:v>
      </x:c>
      <x:c r="B13" s="10"/>
      <x:c r="C13" s="4" t="str">
        <x:f aca="0">Reference!$B$2</x:f>
        <x:v>WK</x:v>
      </x:c>
      <x:c r="D13" s="10"/>
      <x:c r="E13" s="4" t="s">
        <x:v>8</x:v>
      </x:c>
      <x:c r="F13" s="4" t="n">
        <x:v>2</x:v>
      </x:c>
      <x:c r="G13" s="5" t="s">
        <x:v>37</x:v>
      </x:c>
      <x:c r="H13" s="4" t="s">
        <x:v>38</x:v>
      </x:c>
      <x:c r="I13" s="10"/>
      <x:c r="J13" s="10"/>
      <x:c r="K13" s="10"/>
      <x:c r="L13" s="10"/>
      <x:c r="M13" s="1" t="str">
        <x:f aca="0">C13&amp;"|"&amp;E13&amp;"|"&amp;F13&amp;"|"&amp;G13</x:f>
        <x:v>WK|V01|2|邮箱</x:v>
      </x:c>
    </x:row>
    <x:row r="14" ht="16.5" hidden="0" customHeight="1">
      <x:c r="A14" s="4" t="str">
        <x:f aca="0">C14&amp;"-"&amp;E14&amp;"-R"&amp;F14</x:f>
        <x:v>WK-V01-R2</x:v>
      </x:c>
      <x:c r="B14" s="10"/>
      <x:c r="C14" s="4" t="str">
        <x:f aca="0">Reference!$B$2</x:f>
        <x:v>WK</x:v>
      </x:c>
      <x:c r="D14" s="10"/>
      <x:c r="E14" s="4" t="s">
        <x:v>8</x:v>
      </x:c>
      <x:c r="F14" s="4" t="n">
        <x:v>2</x:v>
      </x:c>
      <x:c r="G14" s="5" t="s">
        <x:v>39</x:v>
      </x:c>
      <x:c r="H14" s="4" t="s">
        <x:v>40</x:v>
      </x:c>
      <x:c r="I14" s="10"/>
      <x:c r="J14" s="10"/>
      <x:c r="K14" s="10"/>
      <x:c r="L14" s="10"/>
      <x:c r="M14" s="1" t="str">
        <x:f aca="0">C14&amp;"|"&amp;E14&amp;"|"&amp;F14&amp;"|"&amp;G14</x:f>
        <x:v>WK|V01|2|电话</x:v>
      </x:c>
    </x:row>
    <x:row r="15" ht="16.5" hidden="0" customHeight="1">
      <x:c r="A15" s="4" t="str">
        <x:f aca="0">C15&amp;"-"&amp;E15&amp;"-R"&amp;F15</x:f>
        <x:v>WK-V01-R2</x:v>
      </x:c>
      <x:c r="B15" s="10"/>
      <x:c r="C15" s="4" t="str">
        <x:f aca="0">Reference!$B$2</x:f>
        <x:v>WK</x:v>
      </x:c>
      <x:c r="D15" s="10"/>
      <x:c r="E15" s="4" t="s">
        <x:v>8</x:v>
      </x:c>
      <x:c r="F15" s="4" t="n">
        <x:v>2</x:v>
      </x:c>
      <x:c r="G15" s="5" t="s">
        <x:v>41</x:v>
      </x:c>
      <x:c r="H15" s="4" t="s">
        <x:v>42</x:v>
      </x:c>
      <x:c r="I15" s="10"/>
      <x:c r="J15" s="10"/>
      <x:c r="K15" s="10"/>
      <x:c r="L15" s="10"/>
      <x:c r="M15" s="1" t="str">
        <x:f aca="0">C15&amp;"|"&amp;E15&amp;"|"&amp;F15&amp;"|"&amp;G15</x:f>
        <x:v>WK|V01|2|城市</x:v>
      </x:c>
    </x:row>
    <x:row r="16" ht="16.5" hidden="0" customHeight="1">
      <x:c r="A16" s="4" t="str">
        <x:f aca="0">C16&amp;"-"&amp;E16&amp;"-R"&amp;F16</x:f>
        <x:v>WK-V01-R2</x:v>
      </x:c>
      <x:c r="B16" s="10"/>
      <x:c r="C16" s="4" t="str">
        <x:f aca="0">Reference!$B$2</x:f>
        <x:v>WK</x:v>
      </x:c>
      <x:c r="D16" s="10"/>
      <x:c r="E16" s="4" t="s">
        <x:v>8</x:v>
      </x:c>
      <x:c r="F16" s="4" t="n">
        <x:v>2</x:v>
      </x:c>
      <x:c r="G16" s="5" t="s">
        <x:v>43</x:v>
      </x:c>
      <x:c r="H16" s="4" t="s">
        <x:v>44</x:v>
      </x:c>
      <x:c r="I16" s="10"/>
      <x:c r="J16" s="10"/>
      <x:c r="K16" s="10"/>
      <x:c r="L16" s="10"/>
      <x:c r="M16" s="1" t="str">
        <x:f aca="0">C16&amp;"|"&amp;E16&amp;"|"&amp;F16&amp;"|"&amp;G16</x:f>
        <x:v>WK|V01|2|最近公司</x:v>
      </x:c>
    </x:row>
    <x:row r="17" ht="16.5" hidden="0" customHeight="1">
      <x:c r="A17" s="4" t="str">
        <x:f aca="0">C17&amp;"-"&amp;E17&amp;"-R"&amp;F17</x:f>
        <x:v>WK-V01-R2</x:v>
      </x:c>
      <x:c r="B17" s="10"/>
      <x:c r="C17" s="4" t="str">
        <x:f aca="0">Reference!$B$2</x:f>
        <x:v>WK</x:v>
      </x:c>
      <x:c r="D17" s="10"/>
      <x:c r="E17" s="4" t="s">
        <x:v>8</x:v>
      </x:c>
      <x:c r="F17" s="4" t="n">
        <x:v>2</x:v>
      </x:c>
      <x:c r="G17" s="5" t="s">
        <x:v>45</x:v>
      </x:c>
      <x:c r="H17" s="4" t="s">
        <x:v>46</x:v>
      </x:c>
      <x:c r="I17" s="10"/>
      <x:c r="J17" s="10"/>
      <x:c r="K17" s="10"/>
      <x:c r="L17" s="10"/>
      <x:c r="M17" s="1" t="str">
        <x:f aca="0">C17&amp;"|"&amp;E17&amp;"|"&amp;F17&amp;"|"&amp;G17</x:f>
        <x:v>WK|V01|2|最近职位头衔</x:v>
      </x:c>
    </x:row>
    <x:row r="18" ht="16.5" hidden="0" customHeight="1">
      <x:c r="A18" s="4" t="str">
        <x:f aca="0">C18&amp;"-"&amp;E18&amp;"-R"&amp;F18</x:f>
        <x:v>WK-V01-R2</x:v>
      </x:c>
      <x:c r="B18" s="10"/>
      <x:c r="C18" s="4" t="str">
        <x:f aca="0">Reference!$B$2</x:f>
        <x:v>WK</x:v>
      </x:c>
      <x:c r="D18" s="10"/>
      <x:c r="E18" s="4" t="s">
        <x:v>8</x:v>
      </x:c>
      <x:c r="F18" s="4" t="n">
        <x:v>2</x:v>
      </x:c>
      <x:c r="G18" s="5" t="s">
        <x:v>47</x:v>
      </x:c>
      <x:c r="H18" s="4" t="s">
        <x:v>48</x:v>
      </x:c>
      <x:c r="I18" s="10"/>
      <x:c r="J18" s="10"/>
      <x:c r="K18" s="10"/>
      <x:c r="L18" s="10"/>
      <x:c r="M18" s="1" t="str">
        <x:f aca="0">C18&amp;"|"&amp;E18&amp;"|"&amp;F18&amp;"|"&amp;G18</x:f>
        <x:v>WK|V01|2|工作经历条数</x:v>
      </x:c>
    </x:row>
    <x:row r="19" ht="16.5" hidden="0" customHeight="1">
      <x:c r="A19" s="4" t="str">
        <x:f aca="0">C19&amp;"-"&amp;E19&amp;"-R"&amp;F19</x:f>
        <x:v>WK-V01-R2</x:v>
      </x:c>
      <x:c r="B19" s="10"/>
      <x:c r="C19" s="4" t="str">
        <x:f aca="0">Reference!$B$2</x:f>
        <x:v>WK</x:v>
      </x:c>
      <x:c r="D19" s="10"/>
      <x:c r="E19" s="4" t="s">
        <x:v>8</x:v>
      </x:c>
      <x:c r="F19" s="4" t="n">
        <x:v>2</x:v>
      </x:c>
      <x:c r="G19" s="5" t="s">
        <x:v>49</x:v>
      </x:c>
      <x:c r="H19" s="4" t="s">
        <x:v>50</x:v>
      </x:c>
      <x:c r="I19" s="10"/>
      <x:c r="J19" s="10"/>
      <x:c r="K19" s="10"/>
      <x:c r="L19" s="10"/>
      <x:c r="M19" s="1" t="str">
        <x:f aca="0">C19&amp;"|"&amp;E19&amp;"|"&amp;F19&amp;"|"&amp;G19</x:f>
        <x:v>WK|V01|2|起止日期</x:v>
      </x:c>
    </x:row>
    <x:row r="20" ht="16.5" hidden="0" customHeight="1">
      <x:c r="A20" s="4" t="str">
        <x:f aca="0">C20&amp;"-"&amp;E20&amp;"-R"&amp;F20</x:f>
        <x:v>WK-V01-R2</x:v>
      </x:c>
      <x:c r="B20" s="10"/>
      <x:c r="C20" s="4" t="str">
        <x:f aca="0">Reference!$B$2</x:f>
        <x:v>WK</x:v>
      </x:c>
      <x:c r="D20" s="10"/>
      <x:c r="E20" s="4" t="s">
        <x:v>8</x:v>
      </x:c>
      <x:c r="F20" s="4" t="n">
        <x:v>2</x:v>
      </x:c>
      <x:c r="G20" s="5" t="s">
        <x:v>51</x:v>
      </x:c>
      <x:c r="H20" s="4" t="s">
        <x:v>52</x:v>
      </x:c>
      <x:c r="I20" s="10"/>
      <x:c r="J20" s="10"/>
      <x:c r="K20" s="10"/>
      <x:c r="L20" s="10"/>
      <x:c r="M20" s="1" t="str">
        <x:f aca="0">C20&amp;"|"&amp;E20&amp;"|"&amp;F20&amp;"|"&amp;G20</x:f>
        <x:v>WK|V01|2|教育背景</x:v>
      </x:c>
    </x:row>
    <x:row r="21" ht="16.5" hidden="0" customHeight="1">
      <x:c r="A21" s="4" t="str">
        <x:f aca="0">C21&amp;"-"&amp;E21&amp;"-R"&amp;F21</x:f>
        <x:v>WK-V01-R2</x:v>
      </x:c>
      <x:c r="B21" s="10"/>
      <x:c r="C21" s="4" t="str">
        <x:f aca="0">Reference!$B$2</x:f>
        <x:v>WK</x:v>
      </x:c>
      <x:c r="D21" s="10"/>
      <x:c r="E21" s="4" t="s">
        <x:v>8</x:v>
      </x:c>
      <x:c r="F21" s="4" t="n">
        <x:v>2</x:v>
      </x:c>
      <x:c r="G21" s="5" t="s">
        <x:v>53</x:v>
      </x:c>
      <x:c r="H21" s="4" t="s">
        <x:v>54</x:v>
      </x:c>
      <x:c r="I21" s="10"/>
      <x:c r="J21" s="10"/>
      <x:c r="K21" s="10"/>
      <x:c r="L21" s="10"/>
      <x:c r="M21" s="1" t="str">
        <x:f aca="0">C21&amp;"|"&amp;E21&amp;"|"&amp;F21&amp;"|"&amp;G21</x:f>
        <x:v>WK|V01|2|技能识别数量</x:v>
      </x:c>
    </x:row>
    <x:row r="22" ht="16.5" hidden="0" customHeight="1">
      <x:c r="A22" s="4" t="str">
        <x:f aca="0">C22&amp;"-"&amp;E22&amp;"-R"&amp;F22</x:f>
        <x:v>WK-V01-R3</x:v>
      </x:c>
      <x:c r="B22" s="10"/>
      <x:c r="C22" s="4" t="str">
        <x:f aca="0">Reference!$B$2</x:f>
        <x:v>WK</x:v>
      </x:c>
      <x:c r="D22" s="10"/>
      <x:c r="E22" s="4" t="s">
        <x:v>8</x:v>
      </x:c>
      <x:c r="F22" s="4" t="n">
        <x:v>3</x:v>
      </x:c>
      <x:c r="G22" s="5" t="s">
        <x:v>35</x:v>
      </x:c>
      <x:c r="H22" s="4" t="s">
        <x:v>36</x:v>
      </x:c>
      <x:c r="I22" s="10"/>
      <x:c r="J22" s="10"/>
      <x:c r="K22" s="10"/>
      <x:c r="L22" s="10"/>
      <x:c r="M22" s="1" t="str">
        <x:f aca="0">C22&amp;"|"&amp;E22&amp;"|"&amp;F22&amp;"|"&amp;G22</x:f>
        <x:v>WK|V01|3|姓名</x:v>
      </x:c>
    </x:row>
    <x:row r="23" ht="16.5" hidden="0" customHeight="1">
      <x:c r="A23" s="4" t="str">
        <x:f aca="0">C23&amp;"-"&amp;E23&amp;"-R"&amp;F23</x:f>
        <x:v>WK-V01-R3</x:v>
      </x:c>
      <x:c r="B23" s="10"/>
      <x:c r="C23" s="4" t="str">
        <x:f aca="0">Reference!$B$2</x:f>
        <x:v>WK</x:v>
      </x:c>
      <x:c r="D23" s="10"/>
      <x:c r="E23" s="4" t="s">
        <x:v>8</x:v>
      </x:c>
      <x:c r="F23" s="4" t="n">
        <x:v>3</x:v>
      </x:c>
      <x:c r="G23" s="5" t="s">
        <x:v>37</x:v>
      </x:c>
      <x:c r="H23" s="4" t="s">
        <x:v>38</x:v>
      </x:c>
      <x:c r="I23" s="10"/>
      <x:c r="J23" s="10"/>
      <x:c r="K23" s="10"/>
      <x:c r="L23" s="10"/>
      <x:c r="M23" s="1" t="str">
        <x:f aca="0">C23&amp;"|"&amp;E23&amp;"|"&amp;F23&amp;"|"&amp;G23</x:f>
        <x:v>WK|V01|3|邮箱</x:v>
      </x:c>
    </x:row>
    <x:row r="24" ht="16.5" hidden="0" customHeight="1">
      <x:c r="A24" s="4" t="str">
        <x:f aca="0">C24&amp;"-"&amp;E24&amp;"-R"&amp;F24</x:f>
        <x:v>WK-V01-R3</x:v>
      </x:c>
      <x:c r="B24" s="10"/>
      <x:c r="C24" s="4" t="str">
        <x:f aca="0">Reference!$B$2</x:f>
        <x:v>WK</x:v>
      </x:c>
      <x:c r="D24" s="10"/>
      <x:c r="E24" s="4" t="s">
        <x:v>8</x:v>
      </x:c>
      <x:c r="F24" s="4" t="n">
        <x:v>3</x:v>
      </x:c>
      <x:c r="G24" s="5" t="s">
        <x:v>39</x:v>
      </x:c>
      <x:c r="H24" s="4" t="s">
        <x:v>40</x:v>
      </x:c>
      <x:c r="I24" s="10"/>
      <x:c r="J24" s="10"/>
      <x:c r="K24" s="10"/>
      <x:c r="L24" s="10"/>
      <x:c r="M24" s="1" t="str">
        <x:f aca="0">C24&amp;"|"&amp;E24&amp;"|"&amp;F24&amp;"|"&amp;G24</x:f>
        <x:v>WK|V01|3|电话</x:v>
      </x:c>
    </x:row>
    <x:row r="25" ht="16.5" hidden="0" customHeight="1">
      <x:c r="A25" s="4" t="str">
        <x:f aca="0">C25&amp;"-"&amp;E25&amp;"-R"&amp;F25</x:f>
        <x:v>WK-V01-R3</x:v>
      </x:c>
      <x:c r="B25" s="10"/>
      <x:c r="C25" s="4" t="str">
        <x:f aca="0">Reference!$B$2</x:f>
        <x:v>WK</x:v>
      </x:c>
      <x:c r="D25" s="10"/>
      <x:c r="E25" s="4" t="s">
        <x:v>8</x:v>
      </x:c>
      <x:c r="F25" s="4" t="n">
        <x:v>3</x:v>
      </x:c>
      <x:c r="G25" s="5" t="s">
        <x:v>41</x:v>
      </x:c>
      <x:c r="H25" s="4" t="s">
        <x:v>42</x:v>
      </x:c>
      <x:c r="I25" s="10"/>
      <x:c r="J25" s="10"/>
      <x:c r="K25" s="10"/>
      <x:c r="L25" s="10"/>
      <x:c r="M25" s="1" t="str">
        <x:f aca="0">C25&amp;"|"&amp;E25&amp;"|"&amp;F25&amp;"|"&amp;G25</x:f>
        <x:v>WK|V01|3|城市</x:v>
      </x:c>
    </x:row>
    <x:row r="26" ht="16.5" hidden="0" customHeight="1">
      <x:c r="A26" s="4" t="str">
        <x:f aca="0">C26&amp;"-"&amp;E26&amp;"-R"&amp;F26</x:f>
        <x:v>WK-V01-R3</x:v>
      </x:c>
      <x:c r="B26" s="10"/>
      <x:c r="C26" s="4" t="str">
        <x:f aca="0">Reference!$B$2</x:f>
        <x:v>WK</x:v>
      </x:c>
      <x:c r="D26" s="10"/>
      <x:c r="E26" s="4" t="s">
        <x:v>8</x:v>
      </x:c>
      <x:c r="F26" s="4" t="n">
        <x:v>3</x:v>
      </x:c>
      <x:c r="G26" s="5" t="s">
        <x:v>43</x:v>
      </x:c>
      <x:c r="H26" s="4" t="s">
        <x:v>44</x:v>
      </x:c>
      <x:c r="I26" s="10"/>
      <x:c r="J26" s="10"/>
      <x:c r="K26" s="10"/>
      <x:c r="L26" s="10"/>
      <x:c r="M26" s="1" t="str">
        <x:f aca="0">C26&amp;"|"&amp;E26&amp;"|"&amp;F26&amp;"|"&amp;G26</x:f>
        <x:v>WK|V01|3|最近公司</x:v>
      </x:c>
    </x:row>
    <x:row r="27" ht="16.5" hidden="0" customHeight="1">
      <x:c r="A27" s="4" t="str">
        <x:f aca="0">C27&amp;"-"&amp;E27&amp;"-R"&amp;F27</x:f>
        <x:v>WK-V01-R3</x:v>
      </x:c>
      <x:c r="B27" s="10"/>
      <x:c r="C27" s="4" t="str">
        <x:f aca="0">Reference!$B$2</x:f>
        <x:v>WK</x:v>
      </x:c>
      <x:c r="D27" s="10"/>
      <x:c r="E27" s="4" t="s">
        <x:v>8</x:v>
      </x:c>
      <x:c r="F27" s="4" t="n">
        <x:v>3</x:v>
      </x:c>
      <x:c r="G27" s="5" t="s">
        <x:v>45</x:v>
      </x:c>
      <x:c r="H27" s="4" t="s">
        <x:v>46</x:v>
      </x:c>
      <x:c r="I27" s="10"/>
      <x:c r="J27" s="10"/>
      <x:c r="K27" s="10"/>
      <x:c r="L27" s="10"/>
      <x:c r="M27" s="1" t="str">
        <x:f aca="0">C27&amp;"|"&amp;E27&amp;"|"&amp;F27&amp;"|"&amp;G27</x:f>
        <x:v>WK|V01|3|最近职位头衔</x:v>
      </x:c>
    </x:row>
    <x:row r="28" ht="16.5" hidden="0" customHeight="1">
      <x:c r="A28" s="4" t="str">
        <x:f aca="0">C28&amp;"-"&amp;E28&amp;"-R"&amp;F28</x:f>
        <x:v>WK-V01-R3</x:v>
      </x:c>
      <x:c r="B28" s="10"/>
      <x:c r="C28" s="4" t="str">
        <x:f aca="0">Reference!$B$2</x:f>
        <x:v>WK</x:v>
      </x:c>
      <x:c r="D28" s="10"/>
      <x:c r="E28" s="4" t="s">
        <x:v>8</x:v>
      </x:c>
      <x:c r="F28" s="4" t="n">
        <x:v>3</x:v>
      </x:c>
      <x:c r="G28" s="5" t="s">
        <x:v>47</x:v>
      </x:c>
      <x:c r="H28" s="4" t="s">
        <x:v>48</x:v>
      </x:c>
      <x:c r="I28" s="10"/>
      <x:c r="J28" s="10"/>
      <x:c r="K28" s="10"/>
      <x:c r="L28" s="10"/>
      <x:c r="M28" s="1" t="str">
        <x:f aca="0">C28&amp;"|"&amp;E28&amp;"|"&amp;F28&amp;"|"&amp;G28</x:f>
        <x:v>WK|V01|3|工作经历条数</x:v>
      </x:c>
    </x:row>
    <x:row r="29" ht="16.5" hidden="0" customHeight="1">
      <x:c r="A29" s="4" t="str">
        <x:f aca="0">C29&amp;"-"&amp;E29&amp;"-R"&amp;F29</x:f>
        <x:v>WK-V01-R3</x:v>
      </x:c>
      <x:c r="B29" s="10"/>
      <x:c r="C29" s="4" t="str">
        <x:f aca="0">Reference!$B$2</x:f>
        <x:v>WK</x:v>
      </x:c>
      <x:c r="D29" s="10"/>
      <x:c r="E29" s="4" t="s">
        <x:v>8</x:v>
      </x:c>
      <x:c r="F29" s="4" t="n">
        <x:v>3</x:v>
      </x:c>
      <x:c r="G29" s="5" t="s">
        <x:v>49</x:v>
      </x:c>
      <x:c r="H29" s="4" t="s">
        <x:v>50</x:v>
      </x:c>
      <x:c r="I29" s="10"/>
      <x:c r="J29" s="10"/>
      <x:c r="K29" s="10"/>
      <x:c r="L29" s="10"/>
      <x:c r="M29" s="1" t="str">
        <x:f aca="0">C29&amp;"|"&amp;E29&amp;"|"&amp;F29&amp;"|"&amp;G29</x:f>
        <x:v>WK|V01|3|起止日期</x:v>
      </x:c>
    </x:row>
    <x:row r="30" ht="16.5" hidden="0" customHeight="1">
      <x:c r="A30" s="4" t="str">
        <x:f aca="0">C30&amp;"-"&amp;E30&amp;"-R"&amp;F30</x:f>
        <x:v>WK-V01-R3</x:v>
      </x:c>
      <x:c r="B30" s="10"/>
      <x:c r="C30" s="4" t="str">
        <x:f aca="0">Reference!$B$2</x:f>
        <x:v>WK</x:v>
      </x:c>
      <x:c r="D30" s="10"/>
      <x:c r="E30" s="4" t="s">
        <x:v>8</x:v>
      </x:c>
      <x:c r="F30" s="4" t="n">
        <x:v>3</x:v>
      </x:c>
      <x:c r="G30" s="5" t="s">
        <x:v>51</x:v>
      </x:c>
      <x:c r="H30" s="4" t="s">
        <x:v>52</x:v>
      </x:c>
      <x:c r="I30" s="10"/>
      <x:c r="J30" s="10"/>
      <x:c r="K30" s="10"/>
      <x:c r="L30" s="10"/>
      <x:c r="M30" s="1" t="str">
        <x:f aca="0">C30&amp;"|"&amp;E30&amp;"|"&amp;F30&amp;"|"&amp;G30</x:f>
        <x:v>WK|V01|3|教育背景</x:v>
      </x:c>
    </x:row>
    <x:row r="31" ht="16.5" hidden="0" customHeight="1">
      <x:c r="A31" s="4" t="str">
        <x:f aca="0">C31&amp;"-"&amp;E31&amp;"-R"&amp;F31</x:f>
        <x:v>WK-V01-R3</x:v>
      </x:c>
      <x:c r="B31" s="10"/>
      <x:c r="C31" s="4" t="str">
        <x:f aca="0">Reference!$B$2</x:f>
        <x:v>WK</x:v>
      </x:c>
      <x:c r="D31" s="10"/>
      <x:c r="E31" s="4" t="s">
        <x:v>8</x:v>
      </x:c>
      <x:c r="F31" s="4" t="n">
        <x:v>3</x:v>
      </x:c>
      <x:c r="G31" s="5" t="s">
        <x:v>53</x:v>
      </x:c>
      <x:c r="H31" s="4" t="s">
        <x:v>54</x:v>
      </x:c>
      <x:c r="I31" s="10"/>
      <x:c r="J31" s="10"/>
      <x:c r="K31" s="10"/>
      <x:c r="L31" s="10"/>
      <x:c r="M31" s="1" t="str">
        <x:f aca="0">C31&amp;"|"&amp;E31&amp;"|"&amp;F31&amp;"|"&amp;G31</x:f>
        <x:v>WK|V01|3|技能识别数量</x:v>
      </x:c>
    </x:row>
    <x:row r="32" ht="16.5" hidden="0" customHeight="1">
      <x:c r="A32" s="11" t="str">
        <x:f aca="0">C32&amp;"-"&amp;E32&amp;"-R"&amp;F32</x:f>
        <x:v>WK-V02-R1</x:v>
      </x:c>
      <x:c r="B32" s="10"/>
      <x:c r="C32" s="11" t="str">
        <x:f aca="0">Reference!$B$2</x:f>
        <x:v>WK</x:v>
      </x:c>
      <x:c r="D32" s="10"/>
      <x:c r="E32" s="11" t="s">
        <x:v>10</x:v>
      </x:c>
      <x:c r="F32" s="11" t="n">
        <x:v>1</x:v>
      </x:c>
      <x:c r="G32" s="12" t="s">
        <x:v>35</x:v>
      </x:c>
      <x:c r="H32" s="11" t="s">
        <x:v>36</x:v>
      </x:c>
      <x:c r="I32" s="10"/>
      <x:c r="J32" s="10"/>
      <x:c r="K32" s="10"/>
      <x:c r="L32" s="10"/>
      <x:c r="M32" s="1" t="str">
        <x:f aca="0">C32&amp;"|"&amp;E32&amp;"|"&amp;F32&amp;"|"&amp;G32</x:f>
        <x:v>WK|V02|1|姓名</x:v>
      </x:c>
    </x:row>
    <x:row r="33" ht="16.5" hidden="0" customHeight="1">
      <x:c r="A33" s="11" t="str">
        <x:f aca="0">C33&amp;"-"&amp;E33&amp;"-R"&amp;F33</x:f>
        <x:v>WK-V02-R1</x:v>
      </x:c>
      <x:c r="B33" s="10"/>
      <x:c r="C33" s="11" t="str">
        <x:f aca="0">Reference!$B$2</x:f>
        <x:v>WK</x:v>
      </x:c>
      <x:c r="D33" s="10"/>
      <x:c r="E33" s="11" t="s">
        <x:v>10</x:v>
      </x:c>
      <x:c r="F33" s="11" t="n">
        <x:v>1</x:v>
      </x:c>
      <x:c r="G33" s="12" t="s">
        <x:v>37</x:v>
      </x:c>
      <x:c r="H33" s="11" t="s">
        <x:v>38</x:v>
      </x:c>
      <x:c r="I33" s="10"/>
      <x:c r="J33" s="10"/>
      <x:c r="K33" s="10"/>
      <x:c r="L33" s="10"/>
      <x:c r="M33" s="1" t="str">
        <x:f aca="0">C33&amp;"|"&amp;E33&amp;"|"&amp;F33&amp;"|"&amp;G33</x:f>
        <x:v>WK|V02|1|邮箱</x:v>
      </x:c>
    </x:row>
    <x:row r="34" ht="16.5" hidden="0" customHeight="1">
      <x:c r="A34" s="11" t="str">
        <x:f aca="0">C34&amp;"-"&amp;E34&amp;"-R"&amp;F34</x:f>
        <x:v>WK-V02-R1</x:v>
      </x:c>
      <x:c r="B34" s="10"/>
      <x:c r="C34" s="11" t="str">
        <x:f aca="0">Reference!$B$2</x:f>
        <x:v>WK</x:v>
      </x:c>
      <x:c r="D34" s="10"/>
      <x:c r="E34" s="11" t="s">
        <x:v>10</x:v>
      </x:c>
      <x:c r="F34" s="11" t="n">
        <x:v>1</x:v>
      </x:c>
      <x:c r="G34" s="12" t="s">
        <x:v>39</x:v>
      </x:c>
      <x:c r="H34" s="11" t="s">
        <x:v>40</x:v>
      </x:c>
      <x:c r="I34" s="10"/>
      <x:c r="J34" s="10"/>
      <x:c r="K34" s="10"/>
      <x:c r="L34" s="10"/>
      <x:c r="M34" s="1" t="str">
        <x:f aca="0">C34&amp;"|"&amp;E34&amp;"|"&amp;F34&amp;"|"&amp;G34</x:f>
        <x:v>WK|V02|1|电话</x:v>
      </x:c>
    </x:row>
    <x:row r="35" ht="16.5" hidden="0" customHeight="1">
      <x:c r="A35" s="11" t="str">
        <x:f aca="0">C35&amp;"-"&amp;E35&amp;"-R"&amp;F35</x:f>
        <x:v>WK-V02-R1</x:v>
      </x:c>
      <x:c r="B35" s="10"/>
      <x:c r="C35" s="11" t="str">
        <x:f aca="0">Reference!$B$2</x:f>
        <x:v>WK</x:v>
      </x:c>
      <x:c r="D35" s="10"/>
      <x:c r="E35" s="11" t="s">
        <x:v>10</x:v>
      </x:c>
      <x:c r="F35" s="11" t="n">
        <x:v>1</x:v>
      </x:c>
      <x:c r="G35" s="12" t="s">
        <x:v>41</x:v>
      </x:c>
      <x:c r="H35" s="11" t="s">
        <x:v>42</x:v>
      </x:c>
      <x:c r="I35" s="10"/>
      <x:c r="J35" s="10"/>
      <x:c r="K35" s="10"/>
      <x:c r="L35" s="10"/>
      <x:c r="M35" s="1" t="str">
        <x:f aca="0">C35&amp;"|"&amp;E35&amp;"|"&amp;F35&amp;"|"&amp;G35</x:f>
        <x:v>WK|V02|1|城市</x:v>
      </x:c>
    </x:row>
    <x:row r="36" ht="16.5" hidden="0" customHeight="1">
      <x:c r="A36" s="11" t="str">
        <x:f aca="0">C36&amp;"-"&amp;E36&amp;"-R"&amp;F36</x:f>
        <x:v>WK-V02-R1</x:v>
      </x:c>
      <x:c r="B36" s="10"/>
      <x:c r="C36" s="11" t="str">
        <x:f aca="0">Reference!$B$2</x:f>
        <x:v>WK</x:v>
      </x:c>
      <x:c r="D36" s="10"/>
      <x:c r="E36" s="11" t="s">
        <x:v>10</x:v>
      </x:c>
      <x:c r="F36" s="11" t="n">
        <x:v>1</x:v>
      </x:c>
      <x:c r="G36" s="12" t="s">
        <x:v>43</x:v>
      </x:c>
      <x:c r="H36" s="11" t="s">
        <x:v>44</x:v>
      </x:c>
      <x:c r="I36" s="10"/>
      <x:c r="J36" s="10"/>
      <x:c r="K36" s="10"/>
      <x:c r="L36" s="10"/>
      <x:c r="M36" s="1" t="str">
        <x:f aca="0">C36&amp;"|"&amp;E36&amp;"|"&amp;F36&amp;"|"&amp;G36</x:f>
        <x:v>WK|V02|1|最近公司</x:v>
      </x:c>
    </x:row>
    <x:row r="37" ht="16.5" hidden="0" customHeight="1">
      <x:c r="A37" s="11" t="str">
        <x:f aca="0">C37&amp;"-"&amp;E37&amp;"-R"&amp;F37</x:f>
        <x:v>WK-V02-R1</x:v>
      </x:c>
      <x:c r="B37" s="10"/>
      <x:c r="C37" s="11" t="str">
        <x:f aca="0">Reference!$B$2</x:f>
        <x:v>WK</x:v>
      </x:c>
      <x:c r="D37" s="10"/>
      <x:c r="E37" s="11" t="s">
        <x:v>10</x:v>
      </x:c>
      <x:c r="F37" s="11" t="n">
        <x:v>1</x:v>
      </x:c>
      <x:c r="G37" s="12" t="s">
        <x:v>45</x:v>
      </x:c>
      <x:c r="H37" s="11" t="s">
        <x:v>46</x:v>
      </x:c>
      <x:c r="I37" s="10"/>
      <x:c r="J37" s="10"/>
      <x:c r="K37" s="10"/>
      <x:c r="L37" s="10"/>
      <x:c r="M37" s="1" t="str">
        <x:f aca="0">C37&amp;"|"&amp;E37&amp;"|"&amp;F37&amp;"|"&amp;G37</x:f>
        <x:v>WK|V02|1|最近职位头衔</x:v>
      </x:c>
    </x:row>
    <x:row r="38" ht="16.5" hidden="0" customHeight="1">
      <x:c r="A38" s="11" t="str">
        <x:f aca="0">C38&amp;"-"&amp;E38&amp;"-R"&amp;F38</x:f>
        <x:v>WK-V02-R1</x:v>
      </x:c>
      <x:c r="B38" s="10"/>
      <x:c r="C38" s="11" t="str">
        <x:f aca="0">Reference!$B$2</x:f>
        <x:v>WK</x:v>
      </x:c>
      <x:c r="D38" s="10"/>
      <x:c r="E38" s="11" t="s">
        <x:v>10</x:v>
      </x:c>
      <x:c r="F38" s="11" t="n">
        <x:v>1</x:v>
      </x:c>
      <x:c r="G38" s="12" t="s">
        <x:v>47</x:v>
      </x:c>
      <x:c r="H38" s="11" t="s">
        <x:v>48</x:v>
      </x:c>
      <x:c r="I38" s="10"/>
      <x:c r="J38" s="10"/>
      <x:c r="K38" s="10"/>
      <x:c r="L38" s="10"/>
      <x:c r="M38" s="1" t="str">
        <x:f aca="0">C38&amp;"|"&amp;E38&amp;"|"&amp;F38&amp;"|"&amp;G38</x:f>
        <x:v>WK|V02|1|工作经历条数</x:v>
      </x:c>
    </x:row>
    <x:row r="39" ht="16.5" hidden="0" customHeight="1">
      <x:c r="A39" s="11" t="str">
        <x:f aca="0">C39&amp;"-"&amp;E39&amp;"-R"&amp;F39</x:f>
        <x:v>WK-V02-R1</x:v>
      </x:c>
      <x:c r="B39" s="10"/>
      <x:c r="C39" s="11" t="str">
        <x:f aca="0">Reference!$B$2</x:f>
        <x:v>WK</x:v>
      </x:c>
      <x:c r="D39" s="10"/>
      <x:c r="E39" s="11" t="s">
        <x:v>10</x:v>
      </x:c>
      <x:c r="F39" s="11" t="n">
        <x:v>1</x:v>
      </x:c>
      <x:c r="G39" s="12" t="s">
        <x:v>49</x:v>
      </x:c>
      <x:c r="H39" s="11" t="s">
        <x:v>50</x:v>
      </x:c>
      <x:c r="I39" s="10"/>
      <x:c r="J39" s="10"/>
      <x:c r="K39" s="10"/>
      <x:c r="L39" s="10"/>
      <x:c r="M39" s="1" t="str">
        <x:f aca="0">C39&amp;"|"&amp;E39&amp;"|"&amp;F39&amp;"|"&amp;G39</x:f>
        <x:v>WK|V02|1|起止日期</x:v>
      </x:c>
    </x:row>
    <x:row r="40" ht="16.5" hidden="0" customHeight="1">
      <x:c r="A40" s="11" t="str">
        <x:f aca="0">C40&amp;"-"&amp;E40&amp;"-R"&amp;F40</x:f>
        <x:v>WK-V02-R1</x:v>
      </x:c>
      <x:c r="B40" s="10"/>
      <x:c r="C40" s="11" t="str">
        <x:f aca="0">Reference!$B$2</x:f>
        <x:v>WK</x:v>
      </x:c>
      <x:c r="D40" s="10"/>
      <x:c r="E40" s="11" t="s">
        <x:v>10</x:v>
      </x:c>
      <x:c r="F40" s="11" t="n">
        <x:v>1</x:v>
      </x:c>
      <x:c r="G40" s="12" t="s">
        <x:v>51</x:v>
      </x:c>
      <x:c r="H40" s="11" t="s">
        <x:v>52</x:v>
      </x:c>
      <x:c r="I40" s="10"/>
      <x:c r="J40" s="10"/>
      <x:c r="K40" s="10"/>
      <x:c r="L40" s="10"/>
      <x:c r="M40" s="1" t="str">
        <x:f aca="0">C40&amp;"|"&amp;E40&amp;"|"&amp;F40&amp;"|"&amp;G40</x:f>
        <x:v>WK|V02|1|教育背景</x:v>
      </x:c>
    </x:row>
    <x:row r="41" ht="16.5" hidden="0" customHeight="1">
      <x:c r="A41" s="11" t="str">
        <x:f aca="0">C41&amp;"-"&amp;E41&amp;"-R"&amp;F41</x:f>
        <x:v>WK-V02-R1</x:v>
      </x:c>
      <x:c r="B41" s="10"/>
      <x:c r="C41" s="11" t="str">
        <x:f aca="0">Reference!$B$2</x:f>
        <x:v>WK</x:v>
      </x:c>
      <x:c r="D41" s="10"/>
      <x:c r="E41" s="11" t="s">
        <x:v>10</x:v>
      </x:c>
      <x:c r="F41" s="11" t="n">
        <x:v>1</x:v>
      </x:c>
      <x:c r="G41" s="12" t="s">
        <x:v>53</x:v>
      </x:c>
      <x:c r="H41" s="11" t="s">
        <x:v>54</x:v>
      </x:c>
      <x:c r="I41" s="10"/>
      <x:c r="J41" s="10"/>
      <x:c r="K41" s="10"/>
      <x:c r="L41" s="10"/>
      <x:c r="M41" s="1" t="str">
        <x:f aca="0">C41&amp;"|"&amp;E41&amp;"|"&amp;F41&amp;"|"&amp;G41</x:f>
        <x:v>WK|V02|1|技能识别数量</x:v>
      </x:c>
    </x:row>
    <x:row r="42" ht="16.5" hidden="0" customHeight="1">
      <x:c r="A42" s="11" t="str">
        <x:f aca="0">C42&amp;"-"&amp;E42&amp;"-R"&amp;F42</x:f>
        <x:v>WK-V02-R2</x:v>
      </x:c>
      <x:c r="B42" s="10"/>
      <x:c r="C42" s="11" t="str">
        <x:f aca="0">Reference!$B$2</x:f>
        <x:v>WK</x:v>
      </x:c>
      <x:c r="D42" s="10"/>
      <x:c r="E42" s="11" t="s">
        <x:v>10</x:v>
      </x:c>
      <x:c r="F42" s="11" t="n">
        <x:v>2</x:v>
      </x:c>
      <x:c r="G42" s="12" t="s">
        <x:v>35</x:v>
      </x:c>
      <x:c r="H42" s="11" t="s">
        <x:v>36</x:v>
      </x:c>
      <x:c r="I42" s="10"/>
      <x:c r="J42" s="10"/>
      <x:c r="K42" s="10"/>
      <x:c r="L42" s="10"/>
      <x:c r="M42" s="1" t="str">
        <x:f aca="0">C42&amp;"|"&amp;E42&amp;"|"&amp;F42&amp;"|"&amp;G42</x:f>
        <x:v>WK|V02|2|姓名</x:v>
      </x:c>
    </x:row>
    <x:row r="43" ht="16.5" hidden="0" customHeight="1">
      <x:c r="A43" s="11" t="str">
        <x:f aca="0">C43&amp;"-"&amp;E43&amp;"-R"&amp;F43</x:f>
        <x:v>WK-V02-R2</x:v>
      </x:c>
      <x:c r="B43" s="10"/>
      <x:c r="C43" s="11" t="str">
        <x:f aca="0">Reference!$B$2</x:f>
        <x:v>WK</x:v>
      </x:c>
      <x:c r="D43" s="10"/>
      <x:c r="E43" s="11" t="s">
        <x:v>10</x:v>
      </x:c>
      <x:c r="F43" s="11" t="n">
        <x:v>2</x:v>
      </x:c>
      <x:c r="G43" s="12" t="s">
        <x:v>37</x:v>
      </x:c>
      <x:c r="H43" s="11" t="s">
        <x:v>38</x:v>
      </x:c>
      <x:c r="I43" s="10"/>
      <x:c r="J43" s="10"/>
      <x:c r="K43" s="10"/>
      <x:c r="L43" s="10"/>
      <x:c r="M43" s="1" t="str">
        <x:f aca="0">C43&amp;"|"&amp;E43&amp;"|"&amp;F43&amp;"|"&amp;G43</x:f>
        <x:v>WK|V02|2|邮箱</x:v>
      </x:c>
    </x:row>
    <x:row r="44" ht="16.5" hidden="0" customHeight="1">
      <x:c r="A44" s="11" t="str">
        <x:f aca="0">C44&amp;"-"&amp;E44&amp;"-R"&amp;F44</x:f>
        <x:v>WK-V02-R2</x:v>
      </x:c>
      <x:c r="B44" s="10"/>
      <x:c r="C44" s="11" t="str">
        <x:f aca="0">Reference!$B$2</x:f>
        <x:v>WK</x:v>
      </x:c>
      <x:c r="D44" s="10"/>
      <x:c r="E44" s="11" t="s">
        <x:v>10</x:v>
      </x:c>
      <x:c r="F44" s="11" t="n">
        <x:v>2</x:v>
      </x:c>
      <x:c r="G44" s="12" t="s">
        <x:v>39</x:v>
      </x:c>
      <x:c r="H44" s="11" t="s">
        <x:v>40</x:v>
      </x:c>
      <x:c r="I44" s="10"/>
      <x:c r="J44" s="10"/>
      <x:c r="K44" s="10"/>
      <x:c r="L44" s="10"/>
      <x:c r="M44" s="1" t="str">
        <x:f aca="0">C44&amp;"|"&amp;E44&amp;"|"&amp;F44&amp;"|"&amp;G44</x:f>
        <x:v>WK|V02|2|电话</x:v>
      </x:c>
    </x:row>
    <x:row r="45" ht="16.5" hidden="0" customHeight="1">
      <x:c r="A45" s="11" t="str">
        <x:f aca="0">C45&amp;"-"&amp;E45&amp;"-R"&amp;F45</x:f>
        <x:v>WK-V02-R2</x:v>
      </x:c>
      <x:c r="B45" s="10"/>
      <x:c r="C45" s="11" t="str">
        <x:f aca="0">Reference!$B$2</x:f>
        <x:v>WK</x:v>
      </x:c>
      <x:c r="D45" s="10"/>
      <x:c r="E45" s="11" t="s">
        <x:v>10</x:v>
      </x:c>
      <x:c r="F45" s="11" t="n">
        <x:v>2</x:v>
      </x:c>
      <x:c r="G45" s="12" t="s">
        <x:v>41</x:v>
      </x:c>
      <x:c r="H45" s="11" t="s">
        <x:v>42</x:v>
      </x:c>
      <x:c r="I45" s="10"/>
      <x:c r="J45" s="10"/>
      <x:c r="K45" s="10"/>
      <x:c r="L45" s="10"/>
      <x:c r="M45" s="1" t="str">
        <x:f aca="0">C45&amp;"|"&amp;E45&amp;"|"&amp;F45&amp;"|"&amp;G45</x:f>
        <x:v>WK|V02|2|城市</x:v>
      </x:c>
    </x:row>
    <x:row r="46" ht="16.5" hidden="0" customHeight="1">
      <x:c r="A46" s="11" t="str">
        <x:f aca="0">C46&amp;"-"&amp;E46&amp;"-R"&amp;F46</x:f>
        <x:v>WK-V02-R2</x:v>
      </x:c>
      <x:c r="B46" s="10"/>
      <x:c r="C46" s="11" t="str">
        <x:f aca="0">Reference!$B$2</x:f>
        <x:v>WK</x:v>
      </x:c>
      <x:c r="D46" s="10"/>
      <x:c r="E46" s="11" t="s">
        <x:v>10</x:v>
      </x:c>
      <x:c r="F46" s="11" t="n">
        <x:v>2</x:v>
      </x:c>
      <x:c r="G46" s="12" t="s">
        <x:v>43</x:v>
      </x:c>
      <x:c r="H46" s="11" t="s">
        <x:v>44</x:v>
      </x:c>
      <x:c r="I46" s="10"/>
      <x:c r="J46" s="10"/>
      <x:c r="K46" s="10"/>
      <x:c r="L46" s="10"/>
      <x:c r="M46" s="1" t="str">
        <x:f aca="0">C46&amp;"|"&amp;E46&amp;"|"&amp;F46&amp;"|"&amp;G46</x:f>
        <x:v>WK|V02|2|最近公司</x:v>
      </x:c>
    </x:row>
    <x:row r="47" ht="16.5" hidden="0" customHeight="1">
      <x:c r="A47" s="11" t="str">
        <x:f aca="0">C47&amp;"-"&amp;E47&amp;"-R"&amp;F47</x:f>
        <x:v>WK-V02-R2</x:v>
      </x:c>
      <x:c r="B47" s="10"/>
      <x:c r="C47" s="11" t="str">
        <x:f aca="0">Reference!$B$2</x:f>
        <x:v>WK</x:v>
      </x:c>
      <x:c r="D47" s="10"/>
      <x:c r="E47" s="11" t="s">
        <x:v>10</x:v>
      </x:c>
      <x:c r="F47" s="11" t="n">
        <x:v>2</x:v>
      </x:c>
      <x:c r="G47" s="12" t="s">
        <x:v>45</x:v>
      </x:c>
      <x:c r="H47" s="11" t="s">
        <x:v>46</x:v>
      </x:c>
      <x:c r="I47" s="10"/>
      <x:c r="J47" s="10"/>
      <x:c r="K47" s="10"/>
      <x:c r="L47" s="10"/>
      <x:c r="M47" s="1" t="str">
        <x:f aca="0">C47&amp;"|"&amp;E47&amp;"|"&amp;F47&amp;"|"&amp;G47</x:f>
        <x:v>WK|V02|2|最近职位头衔</x:v>
      </x:c>
    </x:row>
    <x:row r="48" ht="16.5" hidden="0" customHeight="1">
      <x:c r="A48" s="11" t="str">
        <x:f aca="0">C48&amp;"-"&amp;E48&amp;"-R"&amp;F48</x:f>
        <x:v>WK-V02-R2</x:v>
      </x:c>
      <x:c r="B48" s="10"/>
      <x:c r="C48" s="11" t="str">
        <x:f aca="0">Reference!$B$2</x:f>
        <x:v>WK</x:v>
      </x:c>
      <x:c r="D48" s="10"/>
      <x:c r="E48" s="11" t="s">
        <x:v>10</x:v>
      </x:c>
      <x:c r="F48" s="11" t="n">
        <x:v>2</x:v>
      </x:c>
      <x:c r="G48" s="12" t="s">
        <x:v>47</x:v>
      </x:c>
      <x:c r="H48" s="11" t="s">
        <x:v>48</x:v>
      </x:c>
      <x:c r="I48" s="10"/>
      <x:c r="J48" s="10"/>
      <x:c r="K48" s="10"/>
      <x:c r="L48" s="10"/>
      <x:c r="M48" s="1" t="str">
        <x:f aca="0">C48&amp;"|"&amp;E48&amp;"|"&amp;F48&amp;"|"&amp;G48</x:f>
        <x:v>WK|V02|2|工作经历条数</x:v>
      </x:c>
    </x:row>
    <x:row r="49" ht="16.5" hidden="0" customHeight="1">
      <x:c r="A49" s="11" t="str">
        <x:f aca="0">C49&amp;"-"&amp;E49&amp;"-R"&amp;F49</x:f>
        <x:v>WK-V02-R2</x:v>
      </x:c>
      <x:c r="B49" s="10"/>
      <x:c r="C49" s="11" t="str">
        <x:f aca="0">Reference!$B$2</x:f>
        <x:v>WK</x:v>
      </x:c>
      <x:c r="D49" s="10"/>
      <x:c r="E49" s="11" t="s">
        <x:v>10</x:v>
      </x:c>
      <x:c r="F49" s="11" t="n">
        <x:v>2</x:v>
      </x:c>
      <x:c r="G49" s="12" t="s">
        <x:v>49</x:v>
      </x:c>
      <x:c r="H49" s="11" t="s">
        <x:v>50</x:v>
      </x:c>
      <x:c r="I49" s="10"/>
      <x:c r="J49" s="10"/>
      <x:c r="K49" s="10"/>
      <x:c r="L49" s="10"/>
      <x:c r="M49" s="1" t="str">
        <x:f aca="0">C49&amp;"|"&amp;E49&amp;"|"&amp;F49&amp;"|"&amp;G49</x:f>
        <x:v>WK|V02|2|起止日期</x:v>
      </x:c>
    </x:row>
    <x:row r="50" ht="16.5" hidden="0" customHeight="1">
      <x:c r="A50" s="11" t="str">
        <x:f aca="0">C50&amp;"-"&amp;E50&amp;"-R"&amp;F50</x:f>
        <x:v>WK-V02-R2</x:v>
      </x:c>
      <x:c r="B50" s="10"/>
      <x:c r="C50" s="11" t="str">
        <x:f aca="0">Reference!$B$2</x:f>
        <x:v>WK</x:v>
      </x:c>
      <x:c r="D50" s="10"/>
      <x:c r="E50" s="11" t="s">
        <x:v>10</x:v>
      </x:c>
      <x:c r="F50" s="11" t="n">
        <x:v>2</x:v>
      </x:c>
      <x:c r="G50" s="12" t="s">
        <x:v>51</x:v>
      </x:c>
      <x:c r="H50" s="11" t="s">
        <x:v>52</x:v>
      </x:c>
      <x:c r="I50" s="10"/>
      <x:c r="J50" s="10"/>
      <x:c r="K50" s="10"/>
      <x:c r="L50" s="10"/>
      <x:c r="M50" s="1" t="str">
        <x:f aca="0">C50&amp;"|"&amp;E50&amp;"|"&amp;F50&amp;"|"&amp;G50</x:f>
        <x:v>WK|V02|2|教育背景</x:v>
      </x:c>
    </x:row>
    <x:row r="51" ht="16.5" hidden="0" customHeight="1">
      <x:c r="A51" s="11" t="str">
        <x:f aca="0">C51&amp;"-"&amp;E51&amp;"-R"&amp;F51</x:f>
        <x:v>WK-V02-R2</x:v>
      </x:c>
      <x:c r="B51" s="10"/>
      <x:c r="C51" s="11" t="str">
        <x:f aca="0">Reference!$B$2</x:f>
        <x:v>WK</x:v>
      </x:c>
      <x:c r="D51" s="10"/>
      <x:c r="E51" s="11" t="s">
        <x:v>10</x:v>
      </x:c>
      <x:c r="F51" s="11" t="n">
        <x:v>2</x:v>
      </x:c>
      <x:c r="G51" s="12" t="s">
        <x:v>53</x:v>
      </x:c>
      <x:c r="H51" s="11" t="s">
        <x:v>54</x:v>
      </x:c>
      <x:c r="I51" s="10"/>
      <x:c r="J51" s="10"/>
      <x:c r="K51" s="10"/>
      <x:c r="L51" s="10"/>
      <x:c r="M51" s="1" t="str">
        <x:f aca="0">C51&amp;"|"&amp;E51&amp;"|"&amp;F51&amp;"|"&amp;G51</x:f>
        <x:v>WK|V02|2|技能识别数量</x:v>
      </x:c>
    </x:row>
    <x:row r="52" ht="16.5" hidden="0" customHeight="1">
      <x:c r="A52" s="11" t="str">
        <x:f aca="0">C52&amp;"-"&amp;E52&amp;"-R"&amp;F52</x:f>
        <x:v>WK-V02-R3</x:v>
      </x:c>
      <x:c r="B52" s="10"/>
      <x:c r="C52" s="11" t="str">
        <x:f aca="0">Reference!$B$2</x:f>
        <x:v>WK</x:v>
      </x:c>
      <x:c r="D52" s="10"/>
      <x:c r="E52" s="11" t="s">
        <x:v>10</x:v>
      </x:c>
      <x:c r="F52" s="11" t="n">
        <x:v>3</x:v>
      </x:c>
      <x:c r="G52" s="12" t="s">
        <x:v>35</x:v>
      </x:c>
      <x:c r="H52" s="11" t="s">
        <x:v>36</x:v>
      </x:c>
      <x:c r="I52" s="10"/>
      <x:c r="J52" s="10"/>
      <x:c r="K52" s="10"/>
      <x:c r="L52" s="10"/>
      <x:c r="M52" s="1" t="str">
        <x:f aca="0">C52&amp;"|"&amp;E52&amp;"|"&amp;F52&amp;"|"&amp;G52</x:f>
        <x:v>WK|V02|3|姓名</x:v>
      </x:c>
    </x:row>
    <x:row r="53" ht="16.5" hidden="0" customHeight="1">
      <x:c r="A53" s="11" t="str">
        <x:f aca="0">C53&amp;"-"&amp;E53&amp;"-R"&amp;F53</x:f>
        <x:v>WK-V02-R3</x:v>
      </x:c>
      <x:c r="B53" s="10"/>
      <x:c r="C53" s="11" t="str">
        <x:f aca="0">Reference!$B$2</x:f>
        <x:v>WK</x:v>
      </x:c>
      <x:c r="D53" s="10"/>
      <x:c r="E53" s="11" t="s">
        <x:v>10</x:v>
      </x:c>
      <x:c r="F53" s="11" t="n">
        <x:v>3</x:v>
      </x:c>
      <x:c r="G53" s="12" t="s">
        <x:v>37</x:v>
      </x:c>
      <x:c r="H53" s="11" t="s">
        <x:v>38</x:v>
      </x:c>
      <x:c r="I53" s="10"/>
      <x:c r="J53" s="10"/>
      <x:c r="K53" s="10"/>
      <x:c r="L53" s="10"/>
      <x:c r="M53" s="1" t="str">
        <x:f aca="0">C53&amp;"|"&amp;E53&amp;"|"&amp;F53&amp;"|"&amp;G53</x:f>
        <x:v>WK|V02|3|邮箱</x:v>
      </x:c>
    </x:row>
    <x:row r="54" ht="16.5" hidden="0" customHeight="1">
      <x:c r="A54" s="11" t="str">
        <x:f aca="0">C54&amp;"-"&amp;E54&amp;"-R"&amp;F54</x:f>
        <x:v>WK-V02-R3</x:v>
      </x:c>
      <x:c r="B54" s="10"/>
      <x:c r="C54" s="11" t="str">
        <x:f aca="0">Reference!$B$2</x:f>
        <x:v>WK</x:v>
      </x:c>
      <x:c r="D54" s="10"/>
      <x:c r="E54" s="11" t="s">
        <x:v>10</x:v>
      </x:c>
      <x:c r="F54" s="11" t="n">
        <x:v>3</x:v>
      </x:c>
      <x:c r="G54" s="12" t="s">
        <x:v>39</x:v>
      </x:c>
      <x:c r="H54" s="11" t="s">
        <x:v>40</x:v>
      </x:c>
      <x:c r="I54" s="10"/>
      <x:c r="J54" s="10"/>
      <x:c r="K54" s="10"/>
      <x:c r="L54" s="10"/>
      <x:c r="M54" s="1" t="str">
        <x:f aca="0">C54&amp;"|"&amp;E54&amp;"|"&amp;F54&amp;"|"&amp;G54</x:f>
        <x:v>WK|V02|3|电话</x:v>
      </x:c>
    </x:row>
    <x:row r="55" ht="16.5" hidden="0" customHeight="1">
      <x:c r="A55" s="11" t="str">
        <x:f aca="0">C55&amp;"-"&amp;E55&amp;"-R"&amp;F55</x:f>
        <x:v>WK-V02-R3</x:v>
      </x:c>
      <x:c r="B55" s="10"/>
      <x:c r="C55" s="11" t="str">
        <x:f aca="0">Reference!$B$2</x:f>
        <x:v>WK</x:v>
      </x:c>
      <x:c r="D55" s="10"/>
      <x:c r="E55" s="11" t="s">
        <x:v>10</x:v>
      </x:c>
      <x:c r="F55" s="11" t="n">
        <x:v>3</x:v>
      </x:c>
      <x:c r="G55" s="12" t="s">
        <x:v>41</x:v>
      </x:c>
      <x:c r="H55" s="11" t="s">
        <x:v>42</x:v>
      </x:c>
      <x:c r="I55" s="10"/>
      <x:c r="J55" s="10"/>
      <x:c r="K55" s="10"/>
      <x:c r="L55" s="10"/>
      <x:c r="M55" s="1" t="str">
        <x:f aca="0">C55&amp;"|"&amp;E55&amp;"|"&amp;F55&amp;"|"&amp;G55</x:f>
        <x:v>WK|V02|3|城市</x:v>
      </x:c>
    </x:row>
    <x:row r="56" ht="16.5" hidden="0" customHeight="1">
      <x:c r="A56" s="11" t="str">
        <x:f aca="0">C56&amp;"-"&amp;E56&amp;"-R"&amp;F56</x:f>
        <x:v>WK-V02-R3</x:v>
      </x:c>
      <x:c r="B56" s="10"/>
      <x:c r="C56" s="11" t="str">
        <x:f aca="0">Reference!$B$2</x:f>
        <x:v>WK</x:v>
      </x:c>
      <x:c r="D56" s="10"/>
      <x:c r="E56" s="11" t="s">
        <x:v>10</x:v>
      </x:c>
      <x:c r="F56" s="11" t="n">
        <x:v>3</x:v>
      </x:c>
      <x:c r="G56" s="12" t="s">
        <x:v>43</x:v>
      </x:c>
      <x:c r="H56" s="11" t="s">
        <x:v>44</x:v>
      </x:c>
      <x:c r="I56" s="10"/>
      <x:c r="J56" s="10"/>
      <x:c r="K56" s="10"/>
      <x:c r="L56" s="10"/>
      <x:c r="M56" s="1" t="str">
        <x:f aca="0">C56&amp;"|"&amp;E56&amp;"|"&amp;F56&amp;"|"&amp;G56</x:f>
        <x:v>WK|V02|3|最近公司</x:v>
      </x:c>
    </x:row>
    <x:row r="57" ht="16.5" hidden="0" customHeight="1">
      <x:c r="A57" s="11" t="str">
        <x:f aca="0">C57&amp;"-"&amp;E57&amp;"-R"&amp;F57</x:f>
        <x:v>WK-V02-R3</x:v>
      </x:c>
      <x:c r="B57" s="10"/>
      <x:c r="C57" s="11" t="str">
        <x:f aca="0">Reference!$B$2</x:f>
        <x:v>WK</x:v>
      </x:c>
      <x:c r="D57" s="10"/>
      <x:c r="E57" s="11" t="s">
        <x:v>10</x:v>
      </x:c>
      <x:c r="F57" s="11" t="n">
        <x:v>3</x:v>
      </x:c>
      <x:c r="G57" s="12" t="s">
        <x:v>45</x:v>
      </x:c>
      <x:c r="H57" s="11" t="s">
        <x:v>46</x:v>
      </x:c>
      <x:c r="I57" s="10"/>
      <x:c r="J57" s="10"/>
      <x:c r="K57" s="10"/>
      <x:c r="L57" s="10"/>
      <x:c r="M57" s="1" t="str">
        <x:f aca="0">C57&amp;"|"&amp;E57&amp;"|"&amp;F57&amp;"|"&amp;G57</x:f>
        <x:v>WK|V02|3|最近职位头衔</x:v>
      </x:c>
    </x:row>
    <x:row r="58" ht="16.5" hidden="0" customHeight="1">
      <x:c r="A58" s="11" t="str">
        <x:f aca="0">C58&amp;"-"&amp;E58&amp;"-R"&amp;F58</x:f>
        <x:v>WK-V02-R3</x:v>
      </x:c>
      <x:c r="B58" s="10"/>
      <x:c r="C58" s="11" t="str">
        <x:f aca="0">Reference!$B$2</x:f>
        <x:v>WK</x:v>
      </x:c>
      <x:c r="D58" s="10"/>
      <x:c r="E58" s="11" t="s">
        <x:v>10</x:v>
      </x:c>
      <x:c r="F58" s="11" t="n">
        <x:v>3</x:v>
      </x:c>
      <x:c r="G58" s="12" t="s">
        <x:v>47</x:v>
      </x:c>
      <x:c r="H58" s="11" t="s">
        <x:v>48</x:v>
      </x:c>
      <x:c r="I58" s="10"/>
      <x:c r="J58" s="10"/>
      <x:c r="K58" s="10"/>
      <x:c r="L58" s="10"/>
      <x:c r="M58" s="1" t="str">
        <x:f aca="0">C58&amp;"|"&amp;E58&amp;"|"&amp;F58&amp;"|"&amp;G58</x:f>
        <x:v>WK|V02|3|工作经历条数</x:v>
      </x:c>
    </x:row>
    <x:row r="59" ht="16.5" hidden="0" customHeight="1">
      <x:c r="A59" s="11" t="str">
        <x:f aca="0">C59&amp;"-"&amp;E59&amp;"-R"&amp;F59</x:f>
        <x:v>WK-V02-R3</x:v>
      </x:c>
      <x:c r="B59" s="10"/>
      <x:c r="C59" s="11" t="str">
        <x:f aca="0">Reference!$B$2</x:f>
        <x:v>WK</x:v>
      </x:c>
      <x:c r="D59" s="10"/>
      <x:c r="E59" s="11" t="s">
        <x:v>10</x:v>
      </x:c>
      <x:c r="F59" s="11" t="n">
        <x:v>3</x:v>
      </x:c>
      <x:c r="G59" s="12" t="s">
        <x:v>49</x:v>
      </x:c>
      <x:c r="H59" s="11" t="s">
        <x:v>50</x:v>
      </x:c>
      <x:c r="I59" s="10"/>
      <x:c r="J59" s="10"/>
      <x:c r="K59" s="10"/>
      <x:c r="L59" s="10"/>
      <x:c r="M59" s="1" t="str">
        <x:f aca="0">C59&amp;"|"&amp;E59&amp;"|"&amp;F59&amp;"|"&amp;G59</x:f>
        <x:v>WK|V02|3|起止日期</x:v>
      </x:c>
    </x:row>
    <x:row r="60" ht="16.5" hidden="0" customHeight="1">
      <x:c r="A60" s="11" t="str">
        <x:f aca="0">C60&amp;"-"&amp;E60&amp;"-R"&amp;F60</x:f>
        <x:v>WK-V02-R3</x:v>
      </x:c>
      <x:c r="B60" s="10"/>
      <x:c r="C60" s="11" t="str">
        <x:f aca="0">Reference!$B$2</x:f>
        <x:v>WK</x:v>
      </x:c>
      <x:c r="D60" s="10"/>
      <x:c r="E60" s="11" t="s">
        <x:v>10</x:v>
      </x:c>
      <x:c r="F60" s="11" t="n">
        <x:v>3</x:v>
      </x:c>
      <x:c r="G60" s="12" t="s">
        <x:v>51</x:v>
      </x:c>
      <x:c r="H60" s="11" t="s">
        <x:v>52</x:v>
      </x:c>
      <x:c r="I60" s="10"/>
      <x:c r="J60" s="10"/>
      <x:c r="K60" s="10"/>
      <x:c r="L60" s="10"/>
      <x:c r="M60" s="1" t="str">
        <x:f aca="0">C60&amp;"|"&amp;E60&amp;"|"&amp;F60&amp;"|"&amp;G60</x:f>
        <x:v>WK|V02|3|教育背景</x:v>
      </x:c>
    </x:row>
    <x:row r="61" ht="16.5" hidden="0" customHeight="1">
      <x:c r="A61" s="11" t="str">
        <x:f aca="0">C61&amp;"-"&amp;E61&amp;"-R"&amp;F61</x:f>
        <x:v>WK-V02-R3</x:v>
      </x:c>
      <x:c r="B61" s="10"/>
      <x:c r="C61" s="11" t="str">
        <x:f aca="0">Reference!$B$2</x:f>
        <x:v>WK</x:v>
      </x:c>
      <x:c r="D61" s="10"/>
      <x:c r="E61" s="11" t="s">
        <x:v>10</x:v>
      </x:c>
      <x:c r="F61" s="11" t="n">
        <x:v>3</x:v>
      </x:c>
      <x:c r="G61" s="12" t="s">
        <x:v>53</x:v>
      </x:c>
      <x:c r="H61" s="11" t="s">
        <x:v>54</x:v>
      </x:c>
      <x:c r="I61" s="10"/>
      <x:c r="J61" s="10"/>
      <x:c r="K61" s="10"/>
      <x:c r="L61" s="10"/>
      <x:c r="M61" s="1" t="str">
        <x:f aca="0">C61&amp;"|"&amp;E61&amp;"|"&amp;F61&amp;"|"&amp;G61</x:f>
        <x:v>WK|V02|3|技能识别数量</x:v>
      </x:c>
    </x:row>
    <x:row r="62" ht="16.5" hidden="0" customHeight="1">
      <x:c r="A62" s="4" t="str">
        <x:f aca="0">C62&amp;"-"&amp;E62&amp;"-R"&amp;F62</x:f>
        <x:v>WK-V03-R1</x:v>
      </x:c>
      <x:c r="B62" s="10"/>
      <x:c r="C62" s="4" t="str">
        <x:f aca="0">Reference!$B$2</x:f>
        <x:v>WK</x:v>
      </x:c>
      <x:c r="D62" s="10"/>
      <x:c r="E62" s="4" t="s">
        <x:v>12</x:v>
      </x:c>
      <x:c r="F62" s="4" t="n">
        <x:v>1</x:v>
      </x:c>
      <x:c r="G62" s="5" t="s">
        <x:v>35</x:v>
      </x:c>
      <x:c r="H62" s="4" t="s">
        <x:v>36</x:v>
      </x:c>
      <x:c r="I62" s="10"/>
      <x:c r="J62" s="10"/>
      <x:c r="K62" s="10"/>
      <x:c r="L62" s="10"/>
      <x:c r="M62" s="1" t="str">
        <x:f aca="0">C62&amp;"|"&amp;E62&amp;"|"&amp;F62&amp;"|"&amp;G62</x:f>
        <x:v>WK|V03|1|姓名</x:v>
      </x:c>
    </x:row>
    <x:row r="63" ht="16.5" hidden="0" customHeight="1">
      <x:c r="A63" s="4" t="str">
        <x:f aca="0">C63&amp;"-"&amp;E63&amp;"-R"&amp;F63</x:f>
        <x:v>WK-V03-R1</x:v>
      </x:c>
      <x:c r="B63" s="10"/>
      <x:c r="C63" s="4" t="str">
        <x:f aca="0">Reference!$B$2</x:f>
        <x:v>WK</x:v>
      </x:c>
      <x:c r="D63" s="10"/>
      <x:c r="E63" s="4" t="s">
        <x:v>12</x:v>
      </x:c>
      <x:c r="F63" s="4" t="n">
        <x:v>1</x:v>
      </x:c>
      <x:c r="G63" s="5" t="s">
        <x:v>37</x:v>
      </x:c>
      <x:c r="H63" s="4" t="s">
        <x:v>38</x:v>
      </x:c>
      <x:c r="I63" s="10"/>
      <x:c r="J63" s="10"/>
      <x:c r="K63" s="10"/>
      <x:c r="L63" s="10"/>
      <x:c r="M63" s="1" t="str">
        <x:f aca="0">C63&amp;"|"&amp;E63&amp;"|"&amp;F63&amp;"|"&amp;G63</x:f>
        <x:v>WK|V03|1|邮箱</x:v>
      </x:c>
    </x:row>
    <x:row r="64" ht="16.5" hidden="0" customHeight="1">
      <x:c r="A64" s="4" t="str">
        <x:f aca="0">C64&amp;"-"&amp;E64&amp;"-R"&amp;F64</x:f>
        <x:v>WK-V03-R1</x:v>
      </x:c>
      <x:c r="B64" s="10"/>
      <x:c r="C64" s="4" t="str">
        <x:f aca="0">Reference!$B$2</x:f>
        <x:v>WK</x:v>
      </x:c>
      <x:c r="D64" s="10"/>
      <x:c r="E64" s="4" t="s">
        <x:v>12</x:v>
      </x:c>
      <x:c r="F64" s="4" t="n">
        <x:v>1</x:v>
      </x:c>
      <x:c r="G64" s="5" t="s">
        <x:v>39</x:v>
      </x:c>
      <x:c r="H64" s="4" t="s">
        <x:v>40</x:v>
      </x:c>
      <x:c r="I64" s="10"/>
      <x:c r="J64" s="10"/>
      <x:c r="K64" s="10"/>
      <x:c r="L64" s="10"/>
      <x:c r="M64" s="1" t="str">
        <x:f aca="0">C64&amp;"|"&amp;E64&amp;"|"&amp;F64&amp;"|"&amp;G64</x:f>
        <x:v>WK|V03|1|电话</x:v>
      </x:c>
    </x:row>
    <x:row r="65" ht="16.5" hidden="0" customHeight="1">
      <x:c r="A65" s="4" t="str">
        <x:f aca="0">C65&amp;"-"&amp;E65&amp;"-R"&amp;F65</x:f>
        <x:v>WK-V03-R1</x:v>
      </x:c>
      <x:c r="B65" s="10"/>
      <x:c r="C65" s="4" t="str">
        <x:f aca="0">Reference!$B$2</x:f>
        <x:v>WK</x:v>
      </x:c>
      <x:c r="D65" s="10"/>
      <x:c r="E65" s="4" t="s">
        <x:v>12</x:v>
      </x:c>
      <x:c r="F65" s="4" t="n">
        <x:v>1</x:v>
      </x:c>
      <x:c r="G65" s="5" t="s">
        <x:v>41</x:v>
      </x:c>
      <x:c r="H65" s="4" t="s">
        <x:v>42</x:v>
      </x:c>
      <x:c r="I65" s="10"/>
      <x:c r="J65" s="10"/>
      <x:c r="K65" s="10"/>
      <x:c r="L65" s="10"/>
      <x:c r="M65" s="1" t="str">
        <x:f aca="0">C65&amp;"|"&amp;E65&amp;"|"&amp;F65&amp;"|"&amp;G65</x:f>
        <x:v>WK|V03|1|城市</x:v>
      </x:c>
    </x:row>
    <x:row r="66" ht="16.5" hidden="0" customHeight="1">
      <x:c r="A66" s="4" t="str">
        <x:f aca="0">C66&amp;"-"&amp;E66&amp;"-R"&amp;F66</x:f>
        <x:v>WK-V03-R1</x:v>
      </x:c>
      <x:c r="B66" s="10"/>
      <x:c r="C66" s="4" t="str">
        <x:f aca="0">Reference!$B$2</x:f>
        <x:v>WK</x:v>
      </x:c>
      <x:c r="D66" s="10"/>
      <x:c r="E66" s="4" t="s">
        <x:v>12</x:v>
      </x:c>
      <x:c r="F66" s="4" t="n">
        <x:v>1</x:v>
      </x:c>
      <x:c r="G66" s="5" t="s">
        <x:v>43</x:v>
      </x:c>
      <x:c r="H66" s="4" t="s">
        <x:v>44</x:v>
      </x:c>
      <x:c r="I66" s="10"/>
      <x:c r="J66" s="10"/>
      <x:c r="K66" s="10"/>
      <x:c r="L66" s="10"/>
      <x:c r="M66" s="1" t="str">
        <x:f aca="0">C66&amp;"|"&amp;E66&amp;"|"&amp;F66&amp;"|"&amp;G66</x:f>
        <x:v>WK|V03|1|最近公司</x:v>
      </x:c>
    </x:row>
    <x:row r="67" ht="16.5" hidden="0" customHeight="1">
      <x:c r="A67" s="4" t="str">
        <x:f aca="0">C67&amp;"-"&amp;E67&amp;"-R"&amp;F67</x:f>
        <x:v>WK-V03-R1</x:v>
      </x:c>
      <x:c r="B67" s="10"/>
      <x:c r="C67" s="4" t="str">
        <x:f aca="0">Reference!$B$2</x:f>
        <x:v>WK</x:v>
      </x:c>
      <x:c r="D67" s="10"/>
      <x:c r="E67" s="4" t="s">
        <x:v>12</x:v>
      </x:c>
      <x:c r="F67" s="4" t="n">
        <x:v>1</x:v>
      </x:c>
      <x:c r="G67" s="5" t="s">
        <x:v>45</x:v>
      </x:c>
      <x:c r="H67" s="4" t="s">
        <x:v>46</x:v>
      </x:c>
      <x:c r="I67" s="10"/>
      <x:c r="J67" s="10"/>
      <x:c r="K67" s="10"/>
      <x:c r="L67" s="10"/>
      <x:c r="M67" s="1" t="str">
        <x:f aca="0">C67&amp;"|"&amp;E67&amp;"|"&amp;F67&amp;"|"&amp;G67</x:f>
        <x:v>WK|V03|1|最近职位头衔</x:v>
      </x:c>
    </x:row>
    <x:row r="68" ht="16.5" hidden="0" customHeight="1">
      <x:c r="A68" s="4" t="str">
        <x:f aca="0">C68&amp;"-"&amp;E68&amp;"-R"&amp;F68</x:f>
        <x:v>WK-V03-R1</x:v>
      </x:c>
      <x:c r="B68" s="10"/>
      <x:c r="C68" s="4" t="str">
        <x:f aca="0">Reference!$B$2</x:f>
        <x:v>WK</x:v>
      </x:c>
      <x:c r="D68" s="10"/>
      <x:c r="E68" s="4" t="s">
        <x:v>12</x:v>
      </x:c>
      <x:c r="F68" s="4" t="n">
        <x:v>1</x:v>
      </x:c>
      <x:c r="G68" s="5" t="s">
        <x:v>47</x:v>
      </x:c>
      <x:c r="H68" s="4" t="s">
        <x:v>48</x:v>
      </x:c>
      <x:c r="I68" s="10"/>
      <x:c r="J68" s="10"/>
      <x:c r="K68" s="10"/>
      <x:c r="L68" s="10"/>
      <x:c r="M68" s="1" t="str">
        <x:f aca="0">C68&amp;"|"&amp;E68&amp;"|"&amp;F68&amp;"|"&amp;G68</x:f>
        <x:v>WK|V03|1|工作经历条数</x:v>
      </x:c>
    </x:row>
    <x:row r="69" ht="16.5" hidden="0" customHeight="1">
      <x:c r="A69" s="4" t="str">
        <x:f aca="0">C69&amp;"-"&amp;E69&amp;"-R"&amp;F69</x:f>
        <x:v>WK-V03-R1</x:v>
      </x:c>
      <x:c r="B69" s="10"/>
      <x:c r="C69" s="4" t="str">
        <x:f aca="0">Reference!$B$2</x:f>
        <x:v>WK</x:v>
      </x:c>
      <x:c r="D69" s="10"/>
      <x:c r="E69" s="4" t="s">
        <x:v>12</x:v>
      </x:c>
      <x:c r="F69" s="4" t="n">
        <x:v>1</x:v>
      </x:c>
      <x:c r="G69" s="5" t="s">
        <x:v>49</x:v>
      </x:c>
      <x:c r="H69" s="4" t="s">
        <x:v>50</x:v>
      </x:c>
      <x:c r="I69" s="10"/>
      <x:c r="J69" s="10"/>
      <x:c r="K69" s="10"/>
      <x:c r="L69" s="10"/>
      <x:c r="M69" s="1" t="str">
        <x:f aca="0">C69&amp;"|"&amp;E69&amp;"|"&amp;F69&amp;"|"&amp;G69</x:f>
        <x:v>WK|V03|1|起止日期</x:v>
      </x:c>
    </x:row>
    <x:row r="70" ht="16.5" hidden="0" customHeight="1">
      <x:c r="A70" s="4" t="str">
        <x:f aca="0">C70&amp;"-"&amp;E70&amp;"-R"&amp;F70</x:f>
        <x:v>WK-V03-R1</x:v>
      </x:c>
      <x:c r="B70" s="10"/>
      <x:c r="C70" s="4" t="str">
        <x:f aca="0">Reference!$B$2</x:f>
        <x:v>WK</x:v>
      </x:c>
      <x:c r="D70" s="10"/>
      <x:c r="E70" s="4" t="s">
        <x:v>12</x:v>
      </x:c>
      <x:c r="F70" s="4" t="n">
        <x:v>1</x:v>
      </x:c>
      <x:c r="G70" s="5" t="s">
        <x:v>51</x:v>
      </x:c>
      <x:c r="H70" s="4" t="s">
        <x:v>52</x:v>
      </x:c>
      <x:c r="I70" s="10"/>
      <x:c r="J70" s="10"/>
      <x:c r="K70" s="10"/>
      <x:c r="L70" s="10"/>
      <x:c r="M70" s="1" t="str">
        <x:f aca="0">C70&amp;"|"&amp;E70&amp;"|"&amp;F70&amp;"|"&amp;G70</x:f>
        <x:v>WK|V03|1|教育背景</x:v>
      </x:c>
    </x:row>
    <x:row r="71" ht="16.5" hidden="0" customHeight="1">
      <x:c r="A71" s="4" t="str">
        <x:f aca="0">C71&amp;"-"&amp;E71&amp;"-R"&amp;F71</x:f>
        <x:v>WK-V03-R1</x:v>
      </x:c>
      <x:c r="B71" s="10"/>
      <x:c r="C71" s="4" t="str">
        <x:f aca="0">Reference!$B$2</x:f>
        <x:v>WK</x:v>
      </x:c>
      <x:c r="D71" s="10"/>
      <x:c r="E71" s="4" t="s">
        <x:v>12</x:v>
      </x:c>
      <x:c r="F71" s="4" t="n">
        <x:v>1</x:v>
      </x:c>
      <x:c r="G71" s="5" t="s">
        <x:v>53</x:v>
      </x:c>
      <x:c r="H71" s="4" t="s">
        <x:v>54</x:v>
      </x:c>
      <x:c r="I71" s="10"/>
      <x:c r="J71" s="10"/>
      <x:c r="K71" s="10"/>
      <x:c r="L71" s="10"/>
      <x:c r="M71" s="1" t="str">
        <x:f aca="0">C71&amp;"|"&amp;E71&amp;"|"&amp;F71&amp;"|"&amp;G71</x:f>
        <x:v>WK|V03|1|技能识别数量</x:v>
      </x:c>
    </x:row>
    <x:row r="72" ht="16.5" hidden="0" customHeight="1">
      <x:c r="A72" s="4" t="str">
        <x:f aca="0">C72&amp;"-"&amp;E72&amp;"-R"&amp;F72</x:f>
        <x:v>WK-V03-R2</x:v>
      </x:c>
      <x:c r="B72" s="10"/>
      <x:c r="C72" s="4" t="str">
        <x:f aca="0">Reference!$B$2</x:f>
        <x:v>WK</x:v>
      </x:c>
      <x:c r="D72" s="10"/>
      <x:c r="E72" s="4" t="s">
        <x:v>12</x:v>
      </x:c>
      <x:c r="F72" s="4" t="n">
        <x:v>2</x:v>
      </x:c>
      <x:c r="G72" s="5" t="s">
        <x:v>35</x:v>
      </x:c>
      <x:c r="H72" s="4" t="s">
        <x:v>36</x:v>
      </x:c>
      <x:c r="I72" s="10"/>
      <x:c r="J72" s="10"/>
      <x:c r="K72" s="10"/>
      <x:c r="L72" s="10"/>
      <x:c r="M72" s="1" t="str">
        <x:f aca="0">C72&amp;"|"&amp;E72&amp;"|"&amp;F72&amp;"|"&amp;G72</x:f>
        <x:v>WK|V03|2|姓名</x:v>
      </x:c>
    </x:row>
    <x:row r="73" ht="16.5" hidden="0" customHeight="1">
      <x:c r="A73" s="4" t="str">
        <x:f aca="0">C73&amp;"-"&amp;E73&amp;"-R"&amp;F73</x:f>
        <x:v>WK-V03-R2</x:v>
      </x:c>
      <x:c r="B73" s="10"/>
      <x:c r="C73" s="4" t="str">
        <x:f aca="0">Reference!$B$2</x:f>
        <x:v>WK</x:v>
      </x:c>
      <x:c r="D73" s="10"/>
      <x:c r="E73" s="4" t="s">
        <x:v>12</x:v>
      </x:c>
      <x:c r="F73" s="4" t="n">
        <x:v>2</x:v>
      </x:c>
      <x:c r="G73" s="5" t="s">
        <x:v>37</x:v>
      </x:c>
      <x:c r="H73" s="4" t="s">
        <x:v>38</x:v>
      </x:c>
      <x:c r="I73" s="10"/>
      <x:c r="J73" s="10"/>
      <x:c r="K73" s="10"/>
      <x:c r="L73" s="10"/>
      <x:c r="M73" s="1" t="str">
        <x:f aca="0">C73&amp;"|"&amp;E73&amp;"|"&amp;F73&amp;"|"&amp;G73</x:f>
        <x:v>WK|V03|2|邮箱</x:v>
      </x:c>
    </x:row>
    <x:row r="74" ht="16.5" hidden="0" customHeight="1">
      <x:c r="A74" s="4" t="str">
        <x:f aca="0">C74&amp;"-"&amp;E74&amp;"-R"&amp;F74</x:f>
        <x:v>WK-V03-R2</x:v>
      </x:c>
      <x:c r="B74" s="10"/>
      <x:c r="C74" s="4" t="str">
        <x:f aca="0">Reference!$B$2</x:f>
        <x:v>WK</x:v>
      </x:c>
      <x:c r="D74" s="10"/>
      <x:c r="E74" s="4" t="s">
        <x:v>12</x:v>
      </x:c>
      <x:c r="F74" s="4" t="n">
        <x:v>2</x:v>
      </x:c>
      <x:c r="G74" s="5" t="s">
        <x:v>39</x:v>
      </x:c>
      <x:c r="H74" s="4" t="s">
        <x:v>40</x:v>
      </x:c>
      <x:c r="I74" s="10"/>
      <x:c r="J74" s="10"/>
      <x:c r="K74" s="10"/>
      <x:c r="L74" s="10"/>
      <x:c r="M74" s="1" t="str">
        <x:f aca="0">C74&amp;"|"&amp;E74&amp;"|"&amp;F74&amp;"|"&amp;G74</x:f>
        <x:v>WK|V03|2|电话</x:v>
      </x:c>
    </x:row>
    <x:row r="75" ht="16.5" hidden="0" customHeight="1">
      <x:c r="A75" s="4" t="str">
        <x:f aca="0">C75&amp;"-"&amp;E75&amp;"-R"&amp;F75</x:f>
        <x:v>WK-V03-R2</x:v>
      </x:c>
      <x:c r="B75" s="10"/>
      <x:c r="C75" s="4" t="str">
        <x:f aca="0">Reference!$B$2</x:f>
        <x:v>WK</x:v>
      </x:c>
      <x:c r="D75" s="10"/>
      <x:c r="E75" s="4" t="s">
        <x:v>12</x:v>
      </x:c>
      <x:c r="F75" s="4" t="n">
        <x:v>2</x:v>
      </x:c>
      <x:c r="G75" s="5" t="s">
        <x:v>41</x:v>
      </x:c>
      <x:c r="H75" s="4" t="s">
        <x:v>42</x:v>
      </x:c>
      <x:c r="I75" s="10"/>
      <x:c r="J75" s="10"/>
      <x:c r="K75" s="10"/>
      <x:c r="L75" s="10"/>
      <x:c r="M75" s="1" t="str">
        <x:f aca="0">C75&amp;"|"&amp;E75&amp;"|"&amp;F75&amp;"|"&amp;G75</x:f>
        <x:v>WK|V03|2|城市</x:v>
      </x:c>
    </x:row>
    <x:row r="76" ht="16.5" hidden="0" customHeight="1">
      <x:c r="A76" s="4" t="str">
        <x:f aca="0">C76&amp;"-"&amp;E76&amp;"-R"&amp;F76</x:f>
        <x:v>WK-V03-R2</x:v>
      </x:c>
      <x:c r="B76" s="10"/>
      <x:c r="C76" s="4" t="str">
        <x:f aca="0">Reference!$B$2</x:f>
        <x:v>WK</x:v>
      </x:c>
      <x:c r="D76" s="10"/>
      <x:c r="E76" s="4" t="s">
        <x:v>12</x:v>
      </x:c>
      <x:c r="F76" s="4" t="n">
        <x:v>2</x:v>
      </x:c>
      <x:c r="G76" s="5" t="s">
        <x:v>43</x:v>
      </x:c>
      <x:c r="H76" s="4" t="s">
        <x:v>44</x:v>
      </x:c>
      <x:c r="I76" s="10"/>
      <x:c r="J76" s="10"/>
      <x:c r="K76" s="10"/>
      <x:c r="L76" s="10"/>
      <x:c r="M76" s="1" t="str">
        <x:f aca="0">C76&amp;"|"&amp;E76&amp;"|"&amp;F76&amp;"|"&amp;G76</x:f>
        <x:v>WK|V03|2|最近公司</x:v>
      </x:c>
    </x:row>
    <x:row r="77" ht="16.5" hidden="0" customHeight="1">
      <x:c r="A77" s="4" t="str">
        <x:f aca="0">C77&amp;"-"&amp;E77&amp;"-R"&amp;F77</x:f>
        <x:v>WK-V03-R2</x:v>
      </x:c>
      <x:c r="B77" s="10"/>
      <x:c r="C77" s="4" t="str">
        <x:f aca="0">Reference!$B$2</x:f>
        <x:v>WK</x:v>
      </x:c>
      <x:c r="D77" s="10"/>
      <x:c r="E77" s="4" t="s">
        <x:v>12</x:v>
      </x:c>
      <x:c r="F77" s="4" t="n">
        <x:v>2</x:v>
      </x:c>
      <x:c r="G77" s="5" t="s">
        <x:v>45</x:v>
      </x:c>
      <x:c r="H77" s="4" t="s">
        <x:v>46</x:v>
      </x:c>
      <x:c r="I77" s="10"/>
      <x:c r="J77" s="10"/>
      <x:c r="K77" s="10"/>
      <x:c r="L77" s="10"/>
      <x:c r="M77" s="1" t="str">
        <x:f aca="0">C77&amp;"|"&amp;E77&amp;"|"&amp;F77&amp;"|"&amp;G77</x:f>
        <x:v>WK|V03|2|最近职位头衔</x:v>
      </x:c>
    </x:row>
    <x:row r="78" ht="16.5" hidden="0" customHeight="1">
      <x:c r="A78" s="4" t="str">
        <x:f aca="0">C78&amp;"-"&amp;E78&amp;"-R"&amp;F78</x:f>
        <x:v>WK-V03-R2</x:v>
      </x:c>
      <x:c r="B78" s="10"/>
      <x:c r="C78" s="4" t="str">
        <x:f aca="0">Reference!$B$2</x:f>
        <x:v>WK</x:v>
      </x:c>
      <x:c r="D78" s="10"/>
      <x:c r="E78" s="4" t="s">
        <x:v>12</x:v>
      </x:c>
      <x:c r="F78" s="4" t="n">
        <x:v>2</x:v>
      </x:c>
      <x:c r="G78" s="5" t="s">
        <x:v>47</x:v>
      </x:c>
      <x:c r="H78" s="4" t="s">
        <x:v>48</x:v>
      </x:c>
      <x:c r="I78" s="10"/>
      <x:c r="J78" s="10"/>
      <x:c r="K78" s="10"/>
      <x:c r="L78" s="10"/>
      <x:c r="M78" s="1" t="str">
        <x:f aca="0">C78&amp;"|"&amp;E78&amp;"|"&amp;F78&amp;"|"&amp;G78</x:f>
        <x:v>WK|V03|2|工作经历条数</x:v>
      </x:c>
    </x:row>
    <x:row r="79" ht="16.5" hidden="0" customHeight="1">
      <x:c r="A79" s="4" t="str">
        <x:f aca="0">C79&amp;"-"&amp;E79&amp;"-R"&amp;F79</x:f>
        <x:v>WK-V03-R2</x:v>
      </x:c>
      <x:c r="B79" s="10"/>
      <x:c r="C79" s="4" t="str">
        <x:f aca="0">Reference!$B$2</x:f>
        <x:v>WK</x:v>
      </x:c>
      <x:c r="D79" s="10"/>
      <x:c r="E79" s="4" t="s">
        <x:v>12</x:v>
      </x:c>
      <x:c r="F79" s="4" t="n">
        <x:v>2</x:v>
      </x:c>
      <x:c r="G79" s="5" t="s">
        <x:v>49</x:v>
      </x:c>
      <x:c r="H79" s="4" t="s">
        <x:v>50</x:v>
      </x:c>
      <x:c r="I79" s="10"/>
      <x:c r="J79" s="10"/>
      <x:c r="K79" s="10"/>
      <x:c r="L79" s="10"/>
      <x:c r="M79" s="1" t="str">
        <x:f aca="0">C79&amp;"|"&amp;E79&amp;"|"&amp;F79&amp;"|"&amp;G79</x:f>
        <x:v>WK|V03|2|起止日期</x:v>
      </x:c>
    </x:row>
    <x:row r="80" ht="16.5" hidden="0" customHeight="1">
      <x:c r="A80" s="4" t="str">
        <x:f aca="0">C80&amp;"-"&amp;E80&amp;"-R"&amp;F80</x:f>
        <x:v>WK-V03-R2</x:v>
      </x:c>
      <x:c r="B80" s="10"/>
      <x:c r="C80" s="4" t="str">
        <x:f aca="0">Reference!$B$2</x:f>
        <x:v>WK</x:v>
      </x:c>
      <x:c r="D80" s="10"/>
      <x:c r="E80" s="4" t="s">
        <x:v>12</x:v>
      </x:c>
      <x:c r="F80" s="4" t="n">
        <x:v>2</x:v>
      </x:c>
      <x:c r="G80" s="5" t="s">
        <x:v>51</x:v>
      </x:c>
      <x:c r="H80" s="4" t="s">
        <x:v>52</x:v>
      </x:c>
      <x:c r="I80" s="10"/>
      <x:c r="J80" s="10"/>
      <x:c r="K80" s="10"/>
      <x:c r="L80" s="10"/>
      <x:c r="M80" s="1" t="str">
        <x:f aca="0">C80&amp;"|"&amp;E80&amp;"|"&amp;F80&amp;"|"&amp;G80</x:f>
        <x:v>WK|V03|2|教育背景</x:v>
      </x:c>
    </x:row>
    <x:row r="81" ht="16.5" hidden="0" customHeight="1">
      <x:c r="A81" s="4" t="str">
        <x:f aca="0">C81&amp;"-"&amp;E81&amp;"-R"&amp;F81</x:f>
        <x:v>WK-V03-R2</x:v>
      </x:c>
      <x:c r="B81" s="10"/>
      <x:c r="C81" s="4" t="str">
        <x:f aca="0">Reference!$B$2</x:f>
        <x:v>WK</x:v>
      </x:c>
      <x:c r="D81" s="10"/>
      <x:c r="E81" s="4" t="s">
        <x:v>12</x:v>
      </x:c>
      <x:c r="F81" s="4" t="n">
        <x:v>2</x:v>
      </x:c>
      <x:c r="G81" s="5" t="s">
        <x:v>53</x:v>
      </x:c>
      <x:c r="H81" s="4" t="s">
        <x:v>54</x:v>
      </x:c>
      <x:c r="I81" s="10"/>
      <x:c r="J81" s="10"/>
      <x:c r="K81" s="10"/>
      <x:c r="L81" s="10"/>
      <x:c r="M81" s="1" t="str">
        <x:f aca="0">C81&amp;"|"&amp;E81&amp;"|"&amp;F81&amp;"|"&amp;G81</x:f>
        <x:v>WK|V03|2|技能识别数量</x:v>
      </x:c>
    </x:row>
    <x:row r="82" ht="16.5" hidden="0" customHeight="1">
      <x:c r="A82" s="4" t="str">
        <x:f aca="0">C82&amp;"-"&amp;E82&amp;"-R"&amp;F82</x:f>
        <x:v>WK-V03-R3</x:v>
      </x:c>
      <x:c r="B82" s="10"/>
      <x:c r="C82" s="4" t="str">
        <x:f aca="0">Reference!$B$2</x:f>
        <x:v>WK</x:v>
      </x:c>
      <x:c r="D82" s="10"/>
      <x:c r="E82" s="4" t="s">
        <x:v>12</x:v>
      </x:c>
      <x:c r="F82" s="4" t="n">
        <x:v>3</x:v>
      </x:c>
      <x:c r="G82" s="5" t="s">
        <x:v>35</x:v>
      </x:c>
      <x:c r="H82" s="4" t="s">
        <x:v>36</x:v>
      </x:c>
      <x:c r="I82" s="10"/>
      <x:c r="J82" s="10"/>
      <x:c r="K82" s="10"/>
      <x:c r="L82" s="10"/>
      <x:c r="M82" s="1" t="str">
        <x:f aca="0">C82&amp;"|"&amp;E82&amp;"|"&amp;F82&amp;"|"&amp;G82</x:f>
        <x:v>WK|V03|3|姓名</x:v>
      </x:c>
    </x:row>
    <x:row r="83" ht="16.5" hidden="0" customHeight="1">
      <x:c r="A83" s="4" t="str">
        <x:f aca="0">C83&amp;"-"&amp;E83&amp;"-R"&amp;F83</x:f>
        <x:v>WK-V03-R3</x:v>
      </x:c>
      <x:c r="B83" s="10"/>
      <x:c r="C83" s="4" t="str">
        <x:f aca="0">Reference!$B$2</x:f>
        <x:v>WK</x:v>
      </x:c>
      <x:c r="D83" s="10"/>
      <x:c r="E83" s="4" t="s">
        <x:v>12</x:v>
      </x:c>
      <x:c r="F83" s="4" t="n">
        <x:v>3</x:v>
      </x:c>
      <x:c r="G83" s="5" t="s">
        <x:v>37</x:v>
      </x:c>
      <x:c r="H83" s="4" t="s">
        <x:v>38</x:v>
      </x:c>
      <x:c r="I83" s="10"/>
      <x:c r="J83" s="10"/>
      <x:c r="K83" s="10"/>
      <x:c r="L83" s="10"/>
      <x:c r="M83" s="1" t="str">
        <x:f aca="0">C83&amp;"|"&amp;E83&amp;"|"&amp;F83&amp;"|"&amp;G83</x:f>
        <x:v>WK|V03|3|邮箱</x:v>
      </x:c>
    </x:row>
    <x:row r="84" ht="16.5" hidden="0" customHeight="1">
      <x:c r="A84" s="4" t="str">
        <x:f aca="0">C84&amp;"-"&amp;E84&amp;"-R"&amp;F84</x:f>
        <x:v>WK-V03-R3</x:v>
      </x:c>
      <x:c r="B84" s="10"/>
      <x:c r="C84" s="4" t="str">
        <x:f aca="0">Reference!$B$2</x:f>
        <x:v>WK</x:v>
      </x:c>
      <x:c r="D84" s="10"/>
      <x:c r="E84" s="4" t="s">
        <x:v>12</x:v>
      </x:c>
      <x:c r="F84" s="4" t="n">
        <x:v>3</x:v>
      </x:c>
      <x:c r="G84" s="5" t="s">
        <x:v>39</x:v>
      </x:c>
      <x:c r="H84" s="4" t="s">
        <x:v>40</x:v>
      </x:c>
      <x:c r="I84" s="10"/>
      <x:c r="J84" s="10"/>
      <x:c r="K84" s="10"/>
      <x:c r="L84" s="10"/>
      <x:c r="M84" s="1" t="str">
        <x:f aca="0">C84&amp;"|"&amp;E84&amp;"|"&amp;F84&amp;"|"&amp;G84</x:f>
        <x:v>WK|V03|3|电话</x:v>
      </x:c>
    </x:row>
    <x:row r="85" ht="16.5" hidden="0" customHeight="1">
      <x:c r="A85" s="4" t="str">
        <x:f aca="0">C85&amp;"-"&amp;E85&amp;"-R"&amp;F85</x:f>
        <x:v>WK-V03-R3</x:v>
      </x:c>
      <x:c r="B85" s="10"/>
      <x:c r="C85" s="4" t="str">
        <x:f aca="0">Reference!$B$2</x:f>
        <x:v>WK</x:v>
      </x:c>
      <x:c r="D85" s="10"/>
      <x:c r="E85" s="4" t="s">
        <x:v>12</x:v>
      </x:c>
      <x:c r="F85" s="4" t="n">
        <x:v>3</x:v>
      </x:c>
      <x:c r="G85" s="5" t="s">
        <x:v>41</x:v>
      </x:c>
      <x:c r="H85" s="4" t="s">
        <x:v>42</x:v>
      </x:c>
      <x:c r="I85" s="10"/>
      <x:c r="J85" s="10"/>
      <x:c r="K85" s="10"/>
      <x:c r="L85" s="10"/>
      <x:c r="M85" s="1" t="str">
        <x:f aca="0">C85&amp;"|"&amp;E85&amp;"|"&amp;F85&amp;"|"&amp;G85</x:f>
        <x:v>WK|V03|3|城市</x:v>
      </x:c>
    </x:row>
    <x:row r="86" ht="16.5" hidden="0" customHeight="1">
      <x:c r="A86" s="4" t="str">
        <x:f aca="0">C86&amp;"-"&amp;E86&amp;"-R"&amp;F86</x:f>
        <x:v>WK-V03-R3</x:v>
      </x:c>
      <x:c r="B86" s="10"/>
      <x:c r="C86" s="4" t="str">
        <x:f aca="0">Reference!$B$2</x:f>
        <x:v>WK</x:v>
      </x:c>
      <x:c r="D86" s="10"/>
      <x:c r="E86" s="4" t="s">
        <x:v>12</x:v>
      </x:c>
      <x:c r="F86" s="4" t="n">
        <x:v>3</x:v>
      </x:c>
      <x:c r="G86" s="5" t="s">
        <x:v>43</x:v>
      </x:c>
      <x:c r="H86" s="4" t="s">
        <x:v>44</x:v>
      </x:c>
      <x:c r="I86" s="10"/>
      <x:c r="J86" s="10"/>
      <x:c r="K86" s="10"/>
      <x:c r="L86" s="10"/>
      <x:c r="M86" s="1" t="str">
        <x:f aca="0">C86&amp;"|"&amp;E86&amp;"|"&amp;F86&amp;"|"&amp;G86</x:f>
        <x:v>WK|V03|3|最近公司</x:v>
      </x:c>
    </x:row>
    <x:row r="87" ht="16.5" hidden="0" customHeight="1">
      <x:c r="A87" s="4" t="str">
        <x:f aca="0">C87&amp;"-"&amp;E87&amp;"-R"&amp;F87</x:f>
        <x:v>WK-V03-R3</x:v>
      </x:c>
      <x:c r="B87" s="10"/>
      <x:c r="C87" s="4" t="str">
        <x:f aca="0">Reference!$B$2</x:f>
        <x:v>WK</x:v>
      </x:c>
      <x:c r="D87" s="10"/>
      <x:c r="E87" s="4" t="s">
        <x:v>12</x:v>
      </x:c>
      <x:c r="F87" s="4" t="n">
        <x:v>3</x:v>
      </x:c>
      <x:c r="G87" s="5" t="s">
        <x:v>45</x:v>
      </x:c>
      <x:c r="H87" s="4" t="s">
        <x:v>46</x:v>
      </x:c>
      <x:c r="I87" s="10"/>
      <x:c r="J87" s="10"/>
      <x:c r="K87" s="10"/>
      <x:c r="L87" s="10"/>
      <x:c r="M87" s="1" t="str">
        <x:f aca="0">C87&amp;"|"&amp;E87&amp;"|"&amp;F87&amp;"|"&amp;G87</x:f>
        <x:v>WK|V03|3|最近职位头衔</x:v>
      </x:c>
    </x:row>
    <x:row r="88" ht="16.5" hidden="0" customHeight="1">
      <x:c r="A88" s="4" t="str">
        <x:f aca="0">C88&amp;"-"&amp;E88&amp;"-R"&amp;F88</x:f>
        <x:v>WK-V03-R3</x:v>
      </x:c>
      <x:c r="B88" s="10"/>
      <x:c r="C88" s="4" t="str">
        <x:f aca="0">Reference!$B$2</x:f>
        <x:v>WK</x:v>
      </x:c>
      <x:c r="D88" s="10"/>
      <x:c r="E88" s="4" t="s">
        <x:v>12</x:v>
      </x:c>
      <x:c r="F88" s="4" t="n">
        <x:v>3</x:v>
      </x:c>
      <x:c r="G88" s="5" t="s">
        <x:v>47</x:v>
      </x:c>
      <x:c r="H88" s="4" t="s">
        <x:v>48</x:v>
      </x:c>
      <x:c r="I88" s="10"/>
      <x:c r="J88" s="10"/>
      <x:c r="K88" s="10"/>
      <x:c r="L88" s="10"/>
      <x:c r="M88" s="1" t="str">
        <x:f aca="0">C88&amp;"|"&amp;E88&amp;"|"&amp;F88&amp;"|"&amp;G88</x:f>
        <x:v>WK|V03|3|工作经历条数</x:v>
      </x:c>
    </x:row>
    <x:row r="89" ht="16.5" hidden="0" customHeight="1">
      <x:c r="A89" s="4" t="str">
        <x:f aca="0">C89&amp;"-"&amp;E89&amp;"-R"&amp;F89</x:f>
        <x:v>WK-V03-R3</x:v>
      </x:c>
      <x:c r="B89" s="10"/>
      <x:c r="C89" s="4" t="str">
        <x:f aca="0">Reference!$B$2</x:f>
        <x:v>WK</x:v>
      </x:c>
      <x:c r="D89" s="10"/>
      <x:c r="E89" s="4" t="s">
        <x:v>12</x:v>
      </x:c>
      <x:c r="F89" s="4" t="n">
        <x:v>3</x:v>
      </x:c>
      <x:c r="G89" s="5" t="s">
        <x:v>49</x:v>
      </x:c>
      <x:c r="H89" s="4" t="s">
        <x:v>50</x:v>
      </x:c>
      <x:c r="I89" s="10"/>
      <x:c r="J89" s="10"/>
      <x:c r="K89" s="10"/>
      <x:c r="L89" s="10"/>
      <x:c r="M89" s="1" t="str">
        <x:f aca="0">C89&amp;"|"&amp;E89&amp;"|"&amp;F89&amp;"|"&amp;G89</x:f>
        <x:v>WK|V03|3|起止日期</x:v>
      </x:c>
    </x:row>
    <x:row r="90" ht="16.5" hidden="0" customHeight="1">
      <x:c r="A90" s="4" t="str">
        <x:f aca="0">C90&amp;"-"&amp;E90&amp;"-R"&amp;F90</x:f>
        <x:v>WK-V03-R3</x:v>
      </x:c>
      <x:c r="B90" s="10"/>
      <x:c r="C90" s="4" t="str">
        <x:f aca="0">Reference!$B$2</x:f>
        <x:v>WK</x:v>
      </x:c>
      <x:c r="D90" s="10"/>
      <x:c r="E90" s="4" t="s">
        <x:v>12</x:v>
      </x:c>
      <x:c r="F90" s="4" t="n">
        <x:v>3</x:v>
      </x:c>
      <x:c r="G90" s="5" t="s">
        <x:v>51</x:v>
      </x:c>
      <x:c r="H90" s="4" t="s">
        <x:v>52</x:v>
      </x:c>
      <x:c r="I90" s="10"/>
      <x:c r="J90" s="10"/>
      <x:c r="K90" s="10"/>
      <x:c r="L90" s="10"/>
      <x:c r="M90" s="1" t="str">
        <x:f aca="0">C90&amp;"|"&amp;E90&amp;"|"&amp;F90&amp;"|"&amp;G90</x:f>
        <x:v>WK|V03|3|教育背景</x:v>
      </x:c>
    </x:row>
    <x:row r="91" ht="16.5" hidden="0" customHeight="1">
      <x:c r="A91" s="4" t="str">
        <x:f aca="0">C91&amp;"-"&amp;E91&amp;"-R"&amp;F91</x:f>
        <x:v>WK-V03-R3</x:v>
      </x:c>
      <x:c r="B91" s="10"/>
      <x:c r="C91" s="4" t="str">
        <x:f aca="0">Reference!$B$2</x:f>
        <x:v>WK</x:v>
      </x:c>
      <x:c r="D91" s="10"/>
      <x:c r="E91" s="4" t="s">
        <x:v>12</x:v>
      </x:c>
      <x:c r="F91" s="4" t="n">
        <x:v>3</x:v>
      </x:c>
      <x:c r="G91" s="5" t="s">
        <x:v>53</x:v>
      </x:c>
      <x:c r="H91" s="4" t="s">
        <x:v>54</x:v>
      </x:c>
      <x:c r="I91" s="10"/>
      <x:c r="J91" s="10"/>
      <x:c r="K91" s="10"/>
      <x:c r="L91" s="10"/>
      <x:c r="M91" s="1" t="str">
        <x:f aca="0">C91&amp;"|"&amp;E91&amp;"|"&amp;F91&amp;"|"&amp;G91</x:f>
        <x:v>WK|V03|3|技能识别数量</x:v>
      </x:c>
    </x:row>
    <x:row r="92" ht="16.5" hidden="0" customHeight="1">
      <x:c r="A92" s="11" t="str">
        <x:f aca="0">C92&amp;"-"&amp;E92&amp;"-R"&amp;F92</x:f>
        <x:v>WK-V04-R1</x:v>
      </x:c>
      <x:c r="B92" s="10"/>
      <x:c r="C92" s="11" t="str">
        <x:f aca="0">Reference!$B$2</x:f>
        <x:v>WK</x:v>
      </x:c>
      <x:c r="D92" s="10"/>
      <x:c r="E92" s="11" t="s">
        <x:v>14</x:v>
      </x:c>
      <x:c r="F92" s="11" t="n">
        <x:v>1</x:v>
      </x:c>
      <x:c r="G92" s="12" t="s">
        <x:v>35</x:v>
      </x:c>
      <x:c r="H92" s="11" t="s">
        <x:v>36</x:v>
      </x:c>
      <x:c r="I92" s="10"/>
      <x:c r="J92" s="10"/>
      <x:c r="K92" s="10"/>
      <x:c r="L92" s="10"/>
      <x:c r="M92" s="1" t="str">
        <x:f aca="0">C92&amp;"|"&amp;E92&amp;"|"&amp;F92&amp;"|"&amp;G92</x:f>
        <x:v>WK|V04|1|姓名</x:v>
      </x:c>
    </x:row>
    <x:row r="93" ht="16.5" hidden="0" customHeight="1">
      <x:c r="A93" s="11" t="str">
        <x:f aca="0">C93&amp;"-"&amp;E93&amp;"-R"&amp;F93</x:f>
        <x:v>WK-V04-R1</x:v>
      </x:c>
      <x:c r="B93" s="10"/>
      <x:c r="C93" s="11" t="str">
        <x:f aca="0">Reference!$B$2</x:f>
        <x:v>WK</x:v>
      </x:c>
      <x:c r="D93" s="10"/>
      <x:c r="E93" s="11" t="s">
        <x:v>14</x:v>
      </x:c>
      <x:c r="F93" s="11" t="n">
        <x:v>1</x:v>
      </x:c>
      <x:c r="G93" s="12" t="s">
        <x:v>37</x:v>
      </x:c>
      <x:c r="H93" s="11" t="s">
        <x:v>38</x:v>
      </x:c>
      <x:c r="I93" s="10"/>
      <x:c r="J93" s="10"/>
      <x:c r="K93" s="10"/>
      <x:c r="L93" s="10"/>
      <x:c r="M93" s="1" t="str">
        <x:f aca="0">C93&amp;"|"&amp;E93&amp;"|"&amp;F93&amp;"|"&amp;G93</x:f>
        <x:v>WK|V04|1|邮箱</x:v>
      </x:c>
    </x:row>
    <x:row r="94" ht="16.5" hidden="0" customHeight="1">
      <x:c r="A94" s="11" t="str">
        <x:f aca="0">C94&amp;"-"&amp;E94&amp;"-R"&amp;F94</x:f>
        <x:v>WK-V04-R1</x:v>
      </x:c>
      <x:c r="B94" s="10"/>
      <x:c r="C94" s="11" t="str">
        <x:f aca="0">Reference!$B$2</x:f>
        <x:v>WK</x:v>
      </x:c>
      <x:c r="D94" s="10"/>
      <x:c r="E94" s="11" t="s">
        <x:v>14</x:v>
      </x:c>
      <x:c r="F94" s="11" t="n">
        <x:v>1</x:v>
      </x:c>
      <x:c r="G94" s="12" t="s">
        <x:v>39</x:v>
      </x:c>
      <x:c r="H94" s="11" t="s">
        <x:v>40</x:v>
      </x:c>
      <x:c r="I94" s="10"/>
      <x:c r="J94" s="10"/>
      <x:c r="K94" s="10"/>
      <x:c r="L94" s="10"/>
      <x:c r="M94" s="1" t="str">
        <x:f aca="0">C94&amp;"|"&amp;E94&amp;"|"&amp;F94&amp;"|"&amp;G94</x:f>
        <x:v>WK|V04|1|电话</x:v>
      </x:c>
    </x:row>
    <x:row r="95" ht="16.5" hidden="0" customHeight="1">
      <x:c r="A95" s="11" t="str">
        <x:f aca="0">C95&amp;"-"&amp;E95&amp;"-R"&amp;F95</x:f>
        <x:v>WK-V04-R1</x:v>
      </x:c>
      <x:c r="B95" s="10"/>
      <x:c r="C95" s="11" t="str">
        <x:f aca="0">Reference!$B$2</x:f>
        <x:v>WK</x:v>
      </x:c>
      <x:c r="D95" s="10"/>
      <x:c r="E95" s="11" t="s">
        <x:v>14</x:v>
      </x:c>
      <x:c r="F95" s="11" t="n">
        <x:v>1</x:v>
      </x:c>
      <x:c r="G95" s="12" t="s">
        <x:v>41</x:v>
      </x:c>
      <x:c r="H95" s="11" t="s">
        <x:v>42</x:v>
      </x:c>
      <x:c r="I95" s="10"/>
      <x:c r="J95" s="10"/>
      <x:c r="K95" s="10"/>
      <x:c r="L95" s="10"/>
      <x:c r="M95" s="1" t="str">
        <x:f aca="0">C95&amp;"|"&amp;E95&amp;"|"&amp;F95&amp;"|"&amp;G95</x:f>
        <x:v>WK|V04|1|城市</x:v>
      </x:c>
    </x:row>
    <x:row r="96" ht="16.5" hidden="0" customHeight="1">
      <x:c r="A96" s="11" t="str">
        <x:f aca="0">C96&amp;"-"&amp;E96&amp;"-R"&amp;F96</x:f>
        <x:v>WK-V04-R1</x:v>
      </x:c>
      <x:c r="B96" s="10"/>
      <x:c r="C96" s="11" t="str">
        <x:f aca="0">Reference!$B$2</x:f>
        <x:v>WK</x:v>
      </x:c>
      <x:c r="D96" s="10"/>
      <x:c r="E96" s="11" t="s">
        <x:v>14</x:v>
      </x:c>
      <x:c r="F96" s="11" t="n">
        <x:v>1</x:v>
      </x:c>
      <x:c r="G96" s="12" t="s">
        <x:v>43</x:v>
      </x:c>
      <x:c r="H96" s="11" t="s">
        <x:v>44</x:v>
      </x:c>
      <x:c r="I96" s="10"/>
      <x:c r="J96" s="10"/>
      <x:c r="K96" s="10"/>
      <x:c r="L96" s="10"/>
      <x:c r="M96" s="1" t="str">
        <x:f aca="0">C96&amp;"|"&amp;E96&amp;"|"&amp;F96&amp;"|"&amp;G96</x:f>
        <x:v>WK|V04|1|最近公司</x:v>
      </x:c>
    </x:row>
    <x:row r="97" ht="16.5" hidden="0" customHeight="1">
      <x:c r="A97" s="11" t="str">
        <x:f aca="0">C97&amp;"-"&amp;E97&amp;"-R"&amp;F97</x:f>
        <x:v>WK-V04-R1</x:v>
      </x:c>
      <x:c r="B97" s="10"/>
      <x:c r="C97" s="11" t="str">
        <x:f aca="0">Reference!$B$2</x:f>
        <x:v>WK</x:v>
      </x:c>
      <x:c r="D97" s="10"/>
      <x:c r="E97" s="11" t="s">
        <x:v>14</x:v>
      </x:c>
      <x:c r="F97" s="11" t="n">
        <x:v>1</x:v>
      </x:c>
      <x:c r="G97" s="12" t="s">
        <x:v>45</x:v>
      </x:c>
      <x:c r="H97" s="11" t="s">
        <x:v>46</x:v>
      </x:c>
      <x:c r="I97" s="10"/>
      <x:c r="J97" s="10"/>
      <x:c r="K97" s="10"/>
      <x:c r="L97" s="10"/>
      <x:c r="M97" s="1" t="str">
        <x:f aca="0">C97&amp;"|"&amp;E97&amp;"|"&amp;F97&amp;"|"&amp;G97</x:f>
        <x:v>WK|V04|1|最近职位头衔</x:v>
      </x:c>
    </x:row>
    <x:row r="98" ht="16.5" hidden="0" customHeight="1">
      <x:c r="A98" s="11" t="str">
        <x:f aca="0">C98&amp;"-"&amp;E98&amp;"-R"&amp;F98</x:f>
        <x:v>WK-V04-R1</x:v>
      </x:c>
      <x:c r="B98" s="10"/>
      <x:c r="C98" s="11" t="str">
        <x:f aca="0">Reference!$B$2</x:f>
        <x:v>WK</x:v>
      </x:c>
      <x:c r="D98" s="10"/>
      <x:c r="E98" s="11" t="s">
        <x:v>14</x:v>
      </x:c>
      <x:c r="F98" s="11" t="n">
        <x:v>1</x:v>
      </x:c>
      <x:c r="G98" s="12" t="s">
        <x:v>47</x:v>
      </x:c>
      <x:c r="H98" s="11" t="s">
        <x:v>48</x:v>
      </x:c>
      <x:c r="I98" s="10"/>
      <x:c r="J98" s="10"/>
      <x:c r="K98" s="10"/>
      <x:c r="L98" s="10"/>
      <x:c r="M98" s="1" t="str">
        <x:f aca="0">C98&amp;"|"&amp;E98&amp;"|"&amp;F98&amp;"|"&amp;G98</x:f>
        <x:v>WK|V04|1|工作经历条数</x:v>
      </x:c>
    </x:row>
    <x:row r="99" ht="16.5" hidden="0" customHeight="1">
      <x:c r="A99" s="11" t="str">
        <x:f aca="0">C99&amp;"-"&amp;E99&amp;"-R"&amp;F99</x:f>
        <x:v>WK-V04-R1</x:v>
      </x:c>
      <x:c r="B99" s="10"/>
      <x:c r="C99" s="11" t="str">
        <x:f aca="0">Reference!$B$2</x:f>
        <x:v>WK</x:v>
      </x:c>
      <x:c r="D99" s="10"/>
      <x:c r="E99" s="11" t="s">
        <x:v>14</x:v>
      </x:c>
      <x:c r="F99" s="11" t="n">
        <x:v>1</x:v>
      </x:c>
      <x:c r="G99" s="12" t="s">
        <x:v>49</x:v>
      </x:c>
      <x:c r="H99" s="11" t="s">
        <x:v>50</x:v>
      </x:c>
      <x:c r="I99" s="10"/>
      <x:c r="J99" s="10"/>
      <x:c r="K99" s="10"/>
      <x:c r="L99" s="10"/>
      <x:c r="M99" s="1" t="str">
        <x:f aca="0">C99&amp;"|"&amp;E99&amp;"|"&amp;F99&amp;"|"&amp;G99</x:f>
        <x:v>WK|V04|1|起止日期</x:v>
      </x:c>
    </x:row>
    <x:row r="100" ht="16.5" hidden="0" customHeight="1">
      <x:c r="A100" s="11" t="str">
        <x:f aca="0">C100&amp;"-"&amp;E100&amp;"-R"&amp;F100</x:f>
        <x:v>WK-V04-R1</x:v>
      </x:c>
      <x:c r="B100" s="10"/>
      <x:c r="C100" s="11" t="str">
        <x:f aca="0">Reference!$B$2</x:f>
        <x:v>WK</x:v>
      </x:c>
      <x:c r="D100" s="10"/>
      <x:c r="E100" s="11" t="s">
        <x:v>14</x:v>
      </x:c>
      <x:c r="F100" s="11" t="n">
        <x:v>1</x:v>
      </x:c>
      <x:c r="G100" s="12" t="s">
        <x:v>51</x:v>
      </x:c>
      <x:c r="H100" s="11" t="s">
        <x:v>52</x:v>
      </x:c>
      <x:c r="I100" s="10"/>
      <x:c r="J100" s="10"/>
      <x:c r="K100" s="10"/>
      <x:c r="L100" s="10"/>
      <x:c r="M100" s="1" t="str">
        <x:f aca="0">C100&amp;"|"&amp;E100&amp;"|"&amp;F100&amp;"|"&amp;G100</x:f>
        <x:v>WK|V04|1|教育背景</x:v>
      </x:c>
    </x:row>
    <x:row r="101" ht="16.5" hidden="0" customHeight="1">
      <x:c r="A101" s="11" t="str">
        <x:f aca="0">C101&amp;"-"&amp;E101&amp;"-R"&amp;F101</x:f>
        <x:v>WK-V04-R1</x:v>
      </x:c>
      <x:c r="B101" s="10"/>
      <x:c r="C101" s="11" t="str">
        <x:f aca="0">Reference!$B$2</x:f>
        <x:v>WK</x:v>
      </x:c>
      <x:c r="D101" s="10"/>
      <x:c r="E101" s="11" t="s">
        <x:v>14</x:v>
      </x:c>
      <x:c r="F101" s="11" t="n">
        <x:v>1</x:v>
      </x:c>
      <x:c r="G101" s="12" t="s">
        <x:v>53</x:v>
      </x:c>
      <x:c r="H101" s="11" t="s">
        <x:v>54</x:v>
      </x:c>
      <x:c r="I101" s="10"/>
      <x:c r="J101" s="10"/>
      <x:c r="K101" s="10"/>
      <x:c r="L101" s="10"/>
      <x:c r="M101" s="1" t="str">
        <x:f aca="0">C101&amp;"|"&amp;E101&amp;"|"&amp;F101&amp;"|"&amp;G101</x:f>
        <x:v>WK|V04|1|技能识别数量</x:v>
      </x:c>
    </x:row>
    <x:row r="102" ht="16.5" hidden="0" customHeight="1">
      <x:c r="A102" s="11" t="str">
        <x:f aca="0">C102&amp;"-"&amp;E102&amp;"-R"&amp;F102</x:f>
        <x:v>WK-V04-R2</x:v>
      </x:c>
      <x:c r="B102" s="10"/>
      <x:c r="C102" s="11" t="str">
        <x:f aca="0">Reference!$B$2</x:f>
        <x:v>WK</x:v>
      </x:c>
      <x:c r="D102" s="10"/>
      <x:c r="E102" s="11" t="s">
        <x:v>14</x:v>
      </x:c>
      <x:c r="F102" s="11" t="n">
        <x:v>2</x:v>
      </x:c>
      <x:c r="G102" s="12" t="s">
        <x:v>35</x:v>
      </x:c>
      <x:c r="H102" s="11" t="s">
        <x:v>36</x:v>
      </x:c>
      <x:c r="I102" s="10"/>
      <x:c r="J102" s="10"/>
      <x:c r="K102" s="10"/>
      <x:c r="L102" s="10"/>
      <x:c r="M102" s="1" t="str">
        <x:f aca="0">C102&amp;"|"&amp;E102&amp;"|"&amp;F102&amp;"|"&amp;G102</x:f>
        <x:v>WK|V04|2|姓名</x:v>
      </x:c>
    </x:row>
    <x:row r="103" ht="16.5" hidden="0" customHeight="1">
      <x:c r="A103" s="11" t="str">
        <x:f aca="0">C103&amp;"-"&amp;E103&amp;"-R"&amp;F103</x:f>
        <x:v>WK-V04-R2</x:v>
      </x:c>
      <x:c r="B103" s="10"/>
      <x:c r="C103" s="11" t="str">
        <x:f aca="0">Reference!$B$2</x:f>
        <x:v>WK</x:v>
      </x:c>
      <x:c r="D103" s="10"/>
      <x:c r="E103" s="11" t="s">
        <x:v>14</x:v>
      </x:c>
      <x:c r="F103" s="11" t="n">
        <x:v>2</x:v>
      </x:c>
      <x:c r="G103" s="12" t="s">
        <x:v>37</x:v>
      </x:c>
      <x:c r="H103" s="11" t="s">
        <x:v>38</x:v>
      </x:c>
      <x:c r="I103" s="10"/>
      <x:c r="J103" s="10"/>
      <x:c r="K103" s="10"/>
      <x:c r="L103" s="10"/>
      <x:c r="M103" s="1" t="str">
        <x:f aca="0">C103&amp;"|"&amp;E103&amp;"|"&amp;F103&amp;"|"&amp;G103</x:f>
        <x:v>WK|V04|2|邮箱</x:v>
      </x:c>
    </x:row>
    <x:row r="104" ht="16.5" hidden="0" customHeight="1">
      <x:c r="A104" s="11" t="str">
        <x:f aca="0">C104&amp;"-"&amp;E104&amp;"-R"&amp;F104</x:f>
        <x:v>WK-V04-R2</x:v>
      </x:c>
      <x:c r="B104" s="10"/>
      <x:c r="C104" s="11" t="str">
        <x:f aca="0">Reference!$B$2</x:f>
        <x:v>WK</x:v>
      </x:c>
      <x:c r="D104" s="10"/>
      <x:c r="E104" s="11" t="s">
        <x:v>14</x:v>
      </x:c>
      <x:c r="F104" s="11" t="n">
        <x:v>2</x:v>
      </x:c>
      <x:c r="G104" s="12" t="s">
        <x:v>39</x:v>
      </x:c>
      <x:c r="H104" s="11" t="s">
        <x:v>40</x:v>
      </x:c>
      <x:c r="I104" s="10"/>
      <x:c r="J104" s="10"/>
      <x:c r="K104" s="10"/>
      <x:c r="L104" s="10"/>
      <x:c r="M104" s="1" t="str">
        <x:f aca="0">C104&amp;"|"&amp;E104&amp;"|"&amp;F104&amp;"|"&amp;G104</x:f>
        <x:v>WK|V04|2|电话</x:v>
      </x:c>
    </x:row>
    <x:row r="105" ht="16.5" hidden="0" customHeight="1">
      <x:c r="A105" s="11" t="str">
        <x:f aca="0">C105&amp;"-"&amp;E105&amp;"-R"&amp;F105</x:f>
        <x:v>WK-V04-R2</x:v>
      </x:c>
      <x:c r="B105" s="10"/>
      <x:c r="C105" s="11" t="str">
        <x:f aca="0">Reference!$B$2</x:f>
        <x:v>WK</x:v>
      </x:c>
      <x:c r="D105" s="10"/>
      <x:c r="E105" s="11" t="s">
        <x:v>14</x:v>
      </x:c>
      <x:c r="F105" s="11" t="n">
        <x:v>2</x:v>
      </x:c>
      <x:c r="G105" s="12" t="s">
        <x:v>41</x:v>
      </x:c>
      <x:c r="H105" s="11" t="s">
        <x:v>42</x:v>
      </x:c>
      <x:c r="I105" s="10"/>
      <x:c r="J105" s="10"/>
      <x:c r="K105" s="10"/>
      <x:c r="L105" s="10"/>
      <x:c r="M105" s="1" t="str">
        <x:f aca="0">C105&amp;"|"&amp;E105&amp;"|"&amp;F105&amp;"|"&amp;G105</x:f>
        <x:v>WK|V04|2|城市</x:v>
      </x:c>
    </x:row>
    <x:row r="106" ht="16.5" hidden="0" customHeight="1">
      <x:c r="A106" s="11" t="str">
        <x:f aca="0">C106&amp;"-"&amp;E106&amp;"-R"&amp;F106</x:f>
        <x:v>WK-V04-R2</x:v>
      </x:c>
      <x:c r="B106" s="10"/>
      <x:c r="C106" s="11" t="str">
        <x:f aca="0">Reference!$B$2</x:f>
        <x:v>WK</x:v>
      </x:c>
      <x:c r="D106" s="10"/>
      <x:c r="E106" s="11" t="s">
        <x:v>14</x:v>
      </x:c>
      <x:c r="F106" s="11" t="n">
        <x:v>2</x:v>
      </x:c>
      <x:c r="G106" s="12" t="s">
        <x:v>43</x:v>
      </x:c>
      <x:c r="H106" s="11" t="s">
        <x:v>44</x:v>
      </x:c>
      <x:c r="I106" s="10"/>
      <x:c r="J106" s="10"/>
      <x:c r="K106" s="10"/>
      <x:c r="L106" s="10"/>
      <x:c r="M106" s="1" t="str">
        <x:f aca="0">C106&amp;"|"&amp;E106&amp;"|"&amp;F106&amp;"|"&amp;G106</x:f>
        <x:v>WK|V04|2|最近公司</x:v>
      </x:c>
    </x:row>
    <x:row r="107" ht="16.5" hidden="0" customHeight="1">
      <x:c r="A107" s="11" t="str">
        <x:f aca="0">C107&amp;"-"&amp;E107&amp;"-R"&amp;F107</x:f>
        <x:v>WK-V04-R2</x:v>
      </x:c>
      <x:c r="B107" s="10"/>
      <x:c r="C107" s="11" t="str">
        <x:f aca="0">Reference!$B$2</x:f>
        <x:v>WK</x:v>
      </x:c>
      <x:c r="D107" s="10"/>
      <x:c r="E107" s="11" t="s">
        <x:v>14</x:v>
      </x:c>
      <x:c r="F107" s="11" t="n">
        <x:v>2</x:v>
      </x:c>
      <x:c r="G107" s="12" t="s">
        <x:v>45</x:v>
      </x:c>
      <x:c r="H107" s="11" t="s">
        <x:v>46</x:v>
      </x:c>
      <x:c r="I107" s="10"/>
      <x:c r="J107" s="10"/>
      <x:c r="K107" s="10"/>
      <x:c r="L107" s="10"/>
      <x:c r="M107" s="1" t="str">
        <x:f aca="0">C107&amp;"|"&amp;E107&amp;"|"&amp;F107&amp;"|"&amp;G107</x:f>
        <x:v>WK|V04|2|最近职位头衔</x:v>
      </x:c>
    </x:row>
    <x:row r="108" ht="16.5" hidden="0" customHeight="1">
      <x:c r="A108" s="11" t="str">
        <x:f aca="0">C108&amp;"-"&amp;E108&amp;"-R"&amp;F108</x:f>
        <x:v>WK-V04-R2</x:v>
      </x:c>
      <x:c r="B108" s="10"/>
      <x:c r="C108" s="11" t="str">
        <x:f aca="0">Reference!$B$2</x:f>
        <x:v>WK</x:v>
      </x:c>
      <x:c r="D108" s="10"/>
      <x:c r="E108" s="11" t="s">
        <x:v>14</x:v>
      </x:c>
      <x:c r="F108" s="11" t="n">
        <x:v>2</x:v>
      </x:c>
      <x:c r="G108" s="12" t="s">
        <x:v>47</x:v>
      </x:c>
      <x:c r="H108" s="11" t="s">
        <x:v>48</x:v>
      </x:c>
      <x:c r="I108" s="10"/>
      <x:c r="J108" s="10"/>
      <x:c r="K108" s="10"/>
      <x:c r="L108" s="10"/>
      <x:c r="M108" s="1" t="str">
        <x:f aca="0">C108&amp;"|"&amp;E108&amp;"|"&amp;F108&amp;"|"&amp;G108</x:f>
        <x:v>WK|V04|2|工作经历条数</x:v>
      </x:c>
    </x:row>
    <x:row r="109" ht="16.5" hidden="0" customHeight="1">
      <x:c r="A109" s="11" t="str">
        <x:f aca="0">C109&amp;"-"&amp;E109&amp;"-R"&amp;F109</x:f>
        <x:v>WK-V04-R2</x:v>
      </x:c>
      <x:c r="B109" s="10"/>
      <x:c r="C109" s="11" t="str">
        <x:f aca="0">Reference!$B$2</x:f>
        <x:v>WK</x:v>
      </x:c>
      <x:c r="D109" s="10"/>
      <x:c r="E109" s="11" t="s">
        <x:v>14</x:v>
      </x:c>
      <x:c r="F109" s="11" t="n">
        <x:v>2</x:v>
      </x:c>
      <x:c r="G109" s="12" t="s">
        <x:v>49</x:v>
      </x:c>
      <x:c r="H109" s="11" t="s">
        <x:v>50</x:v>
      </x:c>
      <x:c r="I109" s="10"/>
      <x:c r="J109" s="10"/>
      <x:c r="K109" s="10"/>
      <x:c r="L109" s="10"/>
      <x:c r="M109" s="1" t="str">
        <x:f aca="0">C109&amp;"|"&amp;E109&amp;"|"&amp;F109&amp;"|"&amp;G109</x:f>
        <x:v>WK|V04|2|起止日期</x:v>
      </x:c>
    </x:row>
    <x:row r="110" ht="16.5" hidden="0" customHeight="1">
      <x:c r="A110" s="11" t="str">
        <x:f aca="0">C110&amp;"-"&amp;E110&amp;"-R"&amp;F110</x:f>
        <x:v>WK-V04-R2</x:v>
      </x:c>
      <x:c r="B110" s="10"/>
      <x:c r="C110" s="11" t="str">
        <x:f aca="0">Reference!$B$2</x:f>
        <x:v>WK</x:v>
      </x:c>
      <x:c r="D110" s="10"/>
      <x:c r="E110" s="11" t="s">
        <x:v>14</x:v>
      </x:c>
      <x:c r="F110" s="11" t="n">
        <x:v>2</x:v>
      </x:c>
      <x:c r="G110" s="12" t="s">
        <x:v>51</x:v>
      </x:c>
      <x:c r="H110" s="11" t="s">
        <x:v>52</x:v>
      </x:c>
      <x:c r="I110" s="10"/>
      <x:c r="J110" s="10"/>
      <x:c r="K110" s="10"/>
      <x:c r="L110" s="10"/>
      <x:c r="M110" s="1" t="str">
        <x:f aca="0">C110&amp;"|"&amp;E110&amp;"|"&amp;F110&amp;"|"&amp;G110</x:f>
        <x:v>WK|V04|2|教育背景</x:v>
      </x:c>
    </x:row>
    <x:row r="111" ht="16.5" hidden="0" customHeight="1">
      <x:c r="A111" s="11" t="str">
        <x:f aca="0">C111&amp;"-"&amp;E111&amp;"-R"&amp;F111</x:f>
        <x:v>WK-V04-R2</x:v>
      </x:c>
      <x:c r="B111" s="10"/>
      <x:c r="C111" s="11" t="str">
        <x:f aca="0">Reference!$B$2</x:f>
        <x:v>WK</x:v>
      </x:c>
      <x:c r="D111" s="10"/>
      <x:c r="E111" s="11" t="s">
        <x:v>14</x:v>
      </x:c>
      <x:c r="F111" s="11" t="n">
        <x:v>2</x:v>
      </x:c>
      <x:c r="G111" s="12" t="s">
        <x:v>53</x:v>
      </x:c>
      <x:c r="H111" s="11" t="s">
        <x:v>54</x:v>
      </x:c>
      <x:c r="I111" s="10"/>
      <x:c r="J111" s="10"/>
      <x:c r="K111" s="10"/>
      <x:c r="L111" s="10"/>
      <x:c r="M111" s="1" t="str">
        <x:f aca="0">C111&amp;"|"&amp;E111&amp;"|"&amp;F111&amp;"|"&amp;G111</x:f>
        <x:v>WK|V04|2|技能识别数量</x:v>
      </x:c>
    </x:row>
    <x:row r="112" ht="16.5" hidden="0" customHeight="1">
      <x:c r="A112" s="11" t="str">
        <x:f aca="0">C112&amp;"-"&amp;E112&amp;"-R"&amp;F112</x:f>
        <x:v>WK-V04-R3</x:v>
      </x:c>
      <x:c r="B112" s="10"/>
      <x:c r="C112" s="11" t="str">
        <x:f aca="0">Reference!$B$2</x:f>
        <x:v>WK</x:v>
      </x:c>
      <x:c r="D112" s="10"/>
      <x:c r="E112" s="11" t="s">
        <x:v>14</x:v>
      </x:c>
      <x:c r="F112" s="11" t="n">
        <x:v>3</x:v>
      </x:c>
      <x:c r="G112" s="12" t="s">
        <x:v>35</x:v>
      </x:c>
      <x:c r="H112" s="11" t="s">
        <x:v>36</x:v>
      </x:c>
      <x:c r="I112" s="10"/>
      <x:c r="J112" s="10"/>
      <x:c r="K112" s="10"/>
      <x:c r="L112" s="10"/>
      <x:c r="M112" s="1" t="str">
        <x:f aca="0">C112&amp;"|"&amp;E112&amp;"|"&amp;F112&amp;"|"&amp;G112</x:f>
        <x:v>WK|V04|3|姓名</x:v>
      </x:c>
    </x:row>
    <x:row r="113" ht="16.5" hidden="0" customHeight="1">
      <x:c r="A113" s="11" t="str">
        <x:f aca="0">C113&amp;"-"&amp;E113&amp;"-R"&amp;F113</x:f>
        <x:v>WK-V04-R3</x:v>
      </x:c>
      <x:c r="B113" s="10"/>
      <x:c r="C113" s="11" t="str">
        <x:f aca="0">Reference!$B$2</x:f>
        <x:v>WK</x:v>
      </x:c>
      <x:c r="D113" s="10"/>
      <x:c r="E113" s="11" t="s">
        <x:v>14</x:v>
      </x:c>
      <x:c r="F113" s="11" t="n">
        <x:v>3</x:v>
      </x:c>
      <x:c r="G113" s="12" t="s">
        <x:v>37</x:v>
      </x:c>
      <x:c r="H113" s="11" t="s">
        <x:v>38</x:v>
      </x:c>
      <x:c r="I113" s="10"/>
      <x:c r="J113" s="10"/>
      <x:c r="K113" s="10"/>
      <x:c r="L113" s="10"/>
      <x:c r="M113" s="1" t="str">
        <x:f aca="0">C113&amp;"|"&amp;E113&amp;"|"&amp;F113&amp;"|"&amp;G113</x:f>
        <x:v>WK|V04|3|邮箱</x:v>
      </x:c>
    </x:row>
    <x:row r="114" ht="16.5" hidden="0" customHeight="1">
      <x:c r="A114" s="11" t="str">
        <x:f aca="0">C114&amp;"-"&amp;E114&amp;"-R"&amp;F114</x:f>
        <x:v>WK-V04-R3</x:v>
      </x:c>
      <x:c r="B114" s="10"/>
      <x:c r="C114" s="11" t="str">
        <x:f aca="0">Reference!$B$2</x:f>
        <x:v>WK</x:v>
      </x:c>
      <x:c r="D114" s="10"/>
      <x:c r="E114" s="11" t="s">
        <x:v>14</x:v>
      </x:c>
      <x:c r="F114" s="11" t="n">
        <x:v>3</x:v>
      </x:c>
      <x:c r="G114" s="12" t="s">
        <x:v>39</x:v>
      </x:c>
      <x:c r="H114" s="11" t="s">
        <x:v>40</x:v>
      </x:c>
      <x:c r="I114" s="10"/>
      <x:c r="J114" s="10"/>
      <x:c r="K114" s="10"/>
      <x:c r="L114" s="10"/>
      <x:c r="M114" s="1" t="str">
        <x:f aca="0">C114&amp;"|"&amp;E114&amp;"|"&amp;F114&amp;"|"&amp;G114</x:f>
        <x:v>WK|V04|3|电话</x:v>
      </x:c>
    </x:row>
    <x:row r="115" ht="16.5" hidden="0" customHeight="1">
      <x:c r="A115" s="11" t="str">
        <x:f aca="0">C115&amp;"-"&amp;E115&amp;"-R"&amp;F115</x:f>
        <x:v>WK-V04-R3</x:v>
      </x:c>
      <x:c r="B115" s="10"/>
      <x:c r="C115" s="11" t="str">
        <x:f aca="0">Reference!$B$2</x:f>
        <x:v>WK</x:v>
      </x:c>
      <x:c r="D115" s="10"/>
      <x:c r="E115" s="11" t="s">
        <x:v>14</x:v>
      </x:c>
      <x:c r="F115" s="11" t="n">
        <x:v>3</x:v>
      </x:c>
      <x:c r="G115" s="12" t="s">
        <x:v>41</x:v>
      </x:c>
      <x:c r="H115" s="11" t="s">
        <x:v>42</x:v>
      </x:c>
      <x:c r="I115" s="10"/>
      <x:c r="J115" s="10"/>
      <x:c r="K115" s="10"/>
      <x:c r="L115" s="10"/>
      <x:c r="M115" s="1" t="str">
        <x:f aca="0">C115&amp;"|"&amp;E115&amp;"|"&amp;F115&amp;"|"&amp;G115</x:f>
        <x:v>WK|V04|3|城市</x:v>
      </x:c>
    </x:row>
    <x:row r="116" ht="16.5" hidden="0" customHeight="1">
      <x:c r="A116" s="11" t="str">
        <x:f aca="0">C116&amp;"-"&amp;E116&amp;"-R"&amp;F116</x:f>
        <x:v>WK-V04-R3</x:v>
      </x:c>
      <x:c r="B116" s="10"/>
      <x:c r="C116" s="11" t="str">
        <x:f aca="0">Reference!$B$2</x:f>
        <x:v>WK</x:v>
      </x:c>
      <x:c r="D116" s="10"/>
      <x:c r="E116" s="11" t="s">
        <x:v>14</x:v>
      </x:c>
      <x:c r="F116" s="11" t="n">
        <x:v>3</x:v>
      </x:c>
      <x:c r="G116" s="12" t="s">
        <x:v>43</x:v>
      </x:c>
      <x:c r="H116" s="11" t="s">
        <x:v>44</x:v>
      </x:c>
      <x:c r="I116" s="10"/>
      <x:c r="J116" s="10"/>
      <x:c r="K116" s="10"/>
      <x:c r="L116" s="10"/>
      <x:c r="M116" s="1" t="str">
        <x:f aca="0">C116&amp;"|"&amp;E116&amp;"|"&amp;F116&amp;"|"&amp;G116</x:f>
        <x:v>WK|V04|3|最近公司</x:v>
      </x:c>
    </x:row>
    <x:row r="117" ht="16.5" hidden="0" customHeight="1">
      <x:c r="A117" s="11" t="str">
        <x:f aca="0">C117&amp;"-"&amp;E117&amp;"-R"&amp;F117</x:f>
        <x:v>WK-V04-R3</x:v>
      </x:c>
      <x:c r="B117" s="10"/>
      <x:c r="C117" s="11" t="str">
        <x:f aca="0">Reference!$B$2</x:f>
        <x:v>WK</x:v>
      </x:c>
      <x:c r="D117" s="10"/>
      <x:c r="E117" s="11" t="s">
        <x:v>14</x:v>
      </x:c>
      <x:c r="F117" s="11" t="n">
        <x:v>3</x:v>
      </x:c>
      <x:c r="G117" s="12" t="s">
        <x:v>45</x:v>
      </x:c>
      <x:c r="H117" s="11" t="s">
        <x:v>46</x:v>
      </x:c>
      <x:c r="I117" s="10"/>
      <x:c r="J117" s="10"/>
      <x:c r="K117" s="10"/>
      <x:c r="L117" s="10"/>
      <x:c r="M117" s="1" t="str">
        <x:f aca="0">C117&amp;"|"&amp;E117&amp;"|"&amp;F117&amp;"|"&amp;G117</x:f>
        <x:v>WK|V04|3|最近职位头衔</x:v>
      </x:c>
    </x:row>
    <x:row r="118" ht="16.5" hidden="0" customHeight="1">
      <x:c r="A118" s="11" t="str">
        <x:f aca="0">C118&amp;"-"&amp;E118&amp;"-R"&amp;F118</x:f>
        <x:v>WK-V04-R3</x:v>
      </x:c>
      <x:c r="B118" s="10"/>
      <x:c r="C118" s="11" t="str">
        <x:f aca="0">Reference!$B$2</x:f>
        <x:v>WK</x:v>
      </x:c>
      <x:c r="D118" s="10"/>
      <x:c r="E118" s="11" t="s">
        <x:v>14</x:v>
      </x:c>
      <x:c r="F118" s="11" t="n">
        <x:v>3</x:v>
      </x:c>
      <x:c r="G118" s="12" t="s">
        <x:v>47</x:v>
      </x:c>
      <x:c r="H118" s="11" t="s">
        <x:v>48</x:v>
      </x:c>
      <x:c r="I118" s="10"/>
      <x:c r="J118" s="10"/>
      <x:c r="K118" s="10"/>
      <x:c r="L118" s="10"/>
      <x:c r="M118" s="1" t="str">
        <x:f aca="0">C118&amp;"|"&amp;E118&amp;"|"&amp;F118&amp;"|"&amp;G118</x:f>
        <x:v>WK|V04|3|工作经历条数</x:v>
      </x:c>
    </x:row>
    <x:row r="119" ht="16.5" hidden="0" customHeight="1">
      <x:c r="A119" s="11" t="str">
        <x:f aca="0">C119&amp;"-"&amp;E119&amp;"-R"&amp;F119</x:f>
        <x:v>WK-V04-R3</x:v>
      </x:c>
      <x:c r="B119" s="10"/>
      <x:c r="C119" s="11" t="str">
        <x:f aca="0">Reference!$B$2</x:f>
        <x:v>WK</x:v>
      </x:c>
      <x:c r="D119" s="10"/>
      <x:c r="E119" s="11" t="s">
        <x:v>14</x:v>
      </x:c>
      <x:c r="F119" s="11" t="n">
        <x:v>3</x:v>
      </x:c>
      <x:c r="G119" s="12" t="s">
        <x:v>49</x:v>
      </x:c>
      <x:c r="H119" s="11" t="s">
        <x:v>50</x:v>
      </x:c>
      <x:c r="I119" s="10"/>
      <x:c r="J119" s="10"/>
      <x:c r="K119" s="10"/>
      <x:c r="L119" s="10"/>
      <x:c r="M119" s="1" t="str">
        <x:f aca="0">C119&amp;"|"&amp;E119&amp;"|"&amp;F119&amp;"|"&amp;G119</x:f>
        <x:v>WK|V04|3|起止日期</x:v>
      </x:c>
    </x:row>
    <x:row r="120" ht="16.5" hidden="0" customHeight="1">
      <x:c r="A120" s="11" t="str">
        <x:f aca="0">C120&amp;"-"&amp;E120&amp;"-R"&amp;F120</x:f>
        <x:v>WK-V04-R3</x:v>
      </x:c>
      <x:c r="B120" s="10"/>
      <x:c r="C120" s="11" t="str">
        <x:f aca="0">Reference!$B$2</x:f>
        <x:v>WK</x:v>
      </x:c>
      <x:c r="D120" s="10"/>
      <x:c r="E120" s="11" t="s">
        <x:v>14</x:v>
      </x:c>
      <x:c r="F120" s="11" t="n">
        <x:v>3</x:v>
      </x:c>
      <x:c r="G120" s="12" t="s">
        <x:v>51</x:v>
      </x:c>
      <x:c r="H120" s="11" t="s">
        <x:v>52</x:v>
      </x:c>
      <x:c r="I120" s="10"/>
      <x:c r="J120" s="10"/>
      <x:c r="K120" s="10"/>
      <x:c r="L120" s="10"/>
      <x:c r="M120" s="1" t="str">
        <x:f aca="0">C120&amp;"|"&amp;E120&amp;"|"&amp;F120&amp;"|"&amp;G120</x:f>
        <x:v>WK|V04|3|教育背景</x:v>
      </x:c>
    </x:row>
    <x:row r="121" ht="16.5" hidden="0" customHeight="1">
      <x:c r="A121" s="11" t="str">
        <x:f aca="0">C121&amp;"-"&amp;E121&amp;"-R"&amp;F121</x:f>
        <x:v>WK-V04-R3</x:v>
      </x:c>
      <x:c r="B121" s="10"/>
      <x:c r="C121" s="11" t="str">
        <x:f aca="0">Reference!$B$2</x:f>
        <x:v>WK</x:v>
      </x:c>
      <x:c r="D121" s="10"/>
      <x:c r="E121" s="11" t="s">
        <x:v>14</x:v>
      </x:c>
      <x:c r="F121" s="11" t="n">
        <x:v>3</x:v>
      </x:c>
      <x:c r="G121" s="12" t="s">
        <x:v>53</x:v>
      </x:c>
      <x:c r="H121" s="11" t="s">
        <x:v>54</x:v>
      </x:c>
      <x:c r="I121" s="10"/>
      <x:c r="J121" s="10"/>
      <x:c r="K121" s="10"/>
      <x:c r="L121" s="10"/>
      <x:c r="M121" s="1" t="str">
        <x:f aca="0">C121&amp;"|"&amp;E121&amp;"|"&amp;F121&amp;"|"&amp;G121</x:f>
        <x:v>WK|V04|3|技能识别数量</x:v>
      </x:c>
    </x:row>
    <x:row r="122" ht="16.5" hidden="0" customHeight="1">
      <x:c r="A122" s="4" t="str">
        <x:f aca="0">C122&amp;"-"&amp;E122&amp;"-R"&amp;F122</x:f>
        <x:v>WK-V05-R1</x:v>
      </x:c>
      <x:c r="B122" s="10"/>
      <x:c r="C122" s="4" t="str">
        <x:f aca="0">Reference!$B$2</x:f>
        <x:v>WK</x:v>
      </x:c>
      <x:c r="D122" s="10"/>
      <x:c r="E122" s="4" t="s">
        <x:v>16</x:v>
      </x:c>
      <x:c r="F122" s="4" t="n">
        <x:v>1</x:v>
      </x:c>
      <x:c r="G122" s="5" t="s">
        <x:v>35</x:v>
      </x:c>
      <x:c r="H122" s="4" t="s">
        <x:v>36</x:v>
      </x:c>
      <x:c r="I122" s="10"/>
      <x:c r="J122" s="10"/>
      <x:c r="K122" s="10"/>
      <x:c r="L122" s="10"/>
      <x:c r="M122" s="1" t="str">
        <x:f aca="0">C122&amp;"|"&amp;E122&amp;"|"&amp;F122&amp;"|"&amp;G122</x:f>
        <x:v>WK|V05|1|姓名</x:v>
      </x:c>
    </x:row>
    <x:row r="123" ht="16.5" hidden="0" customHeight="1">
      <x:c r="A123" s="4" t="str">
        <x:f aca="0">C123&amp;"-"&amp;E123&amp;"-R"&amp;F123</x:f>
        <x:v>WK-V05-R1</x:v>
      </x:c>
      <x:c r="B123" s="10"/>
      <x:c r="C123" s="4" t="str">
        <x:f aca="0">Reference!$B$2</x:f>
        <x:v>WK</x:v>
      </x:c>
      <x:c r="D123" s="10"/>
      <x:c r="E123" s="4" t="s">
        <x:v>16</x:v>
      </x:c>
      <x:c r="F123" s="4" t="n">
        <x:v>1</x:v>
      </x:c>
      <x:c r="G123" s="5" t="s">
        <x:v>37</x:v>
      </x:c>
      <x:c r="H123" s="4" t="s">
        <x:v>38</x:v>
      </x:c>
      <x:c r="I123" s="10"/>
      <x:c r="J123" s="10"/>
      <x:c r="K123" s="10"/>
      <x:c r="L123" s="10"/>
      <x:c r="M123" s="1" t="str">
        <x:f aca="0">C123&amp;"|"&amp;E123&amp;"|"&amp;F123&amp;"|"&amp;G123</x:f>
        <x:v>WK|V05|1|邮箱</x:v>
      </x:c>
    </x:row>
    <x:row r="124" ht="16.5" hidden="0" customHeight="1">
      <x:c r="A124" s="4" t="str">
        <x:f aca="0">C124&amp;"-"&amp;E124&amp;"-R"&amp;F124</x:f>
        <x:v>WK-V05-R1</x:v>
      </x:c>
      <x:c r="B124" s="10"/>
      <x:c r="C124" s="4" t="str">
        <x:f aca="0">Reference!$B$2</x:f>
        <x:v>WK</x:v>
      </x:c>
      <x:c r="D124" s="10"/>
      <x:c r="E124" s="4" t="s">
        <x:v>16</x:v>
      </x:c>
      <x:c r="F124" s="4" t="n">
        <x:v>1</x:v>
      </x:c>
      <x:c r="G124" s="5" t="s">
        <x:v>39</x:v>
      </x:c>
      <x:c r="H124" s="4" t="s">
        <x:v>40</x:v>
      </x:c>
      <x:c r="I124" s="10"/>
      <x:c r="J124" s="10"/>
      <x:c r="K124" s="10"/>
      <x:c r="L124" s="10"/>
      <x:c r="M124" s="1" t="str">
        <x:f aca="0">C124&amp;"|"&amp;E124&amp;"|"&amp;F124&amp;"|"&amp;G124</x:f>
        <x:v>WK|V05|1|电话</x:v>
      </x:c>
    </x:row>
    <x:row r="125" ht="16.5" hidden="0" customHeight="1">
      <x:c r="A125" s="4" t="str">
        <x:f aca="0">C125&amp;"-"&amp;E125&amp;"-R"&amp;F125</x:f>
        <x:v>WK-V05-R1</x:v>
      </x:c>
      <x:c r="B125" s="10"/>
      <x:c r="C125" s="4" t="str">
        <x:f aca="0">Reference!$B$2</x:f>
        <x:v>WK</x:v>
      </x:c>
      <x:c r="D125" s="10"/>
      <x:c r="E125" s="4" t="s">
        <x:v>16</x:v>
      </x:c>
      <x:c r="F125" s="4" t="n">
        <x:v>1</x:v>
      </x:c>
      <x:c r="G125" s="5" t="s">
        <x:v>41</x:v>
      </x:c>
      <x:c r="H125" s="4" t="s">
        <x:v>42</x:v>
      </x:c>
      <x:c r="I125" s="10"/>
      <x:c r="J125" s="10"/>
      <x:c r="K125" s="10"/>
      <x:c r="L125" s="10"/>
      <x:c r="M125" s="1" t="str">
        <x:f aca="0">C125&amp;"|"&amp;E125&amp;"|"&amp;F125&amp;"|"&amp;G125</x:f>
        <x:v>WK|V05|1|城市</x:v>
      </x:c>
    </x:row>
    <x:row r="126" ht="16.5" hidden="0" customHeight="1">
      <x:c r="A126" s="4" t="str">
        <x:f aca="0">C126&amp;"-"&amp;E126&amp;"-R"&amp;F126</x:f>
        <x:v>WK-V05-R1</x:v>
      </x:c>
      <x:c r="B126" s="10"/>
      <x:c r="C126" s="4" t="str">
        <x:f aca="0">Reference!$B$2</x:f>
        <x:v>WK</x:v>
      </x:c>
      <x:c r="D126" s="10"/>
      <x:c r="E126" s="4" t="s">
        <x:v>16</x:v>
      </x:c>
      <x:c r="F126" s="4" t="n">
        <x:v>1</x:v>
      </x:c>
      <x:c r="G126" s="5" t="s">
        <x:v>43</x:v>
      </x:c>
      <x:c r="H126" s="4" t="s">
        <x:v>44</x:v>
      </x:c>
      <x:c r="I126" s="10"/>
      <x:c r="J126" s="10"/>
      <x:c r="K126" s="10"/>
      <x:c r="L126" s="10"/>
      <x:c r="M126" s="1" t="str">
        <x:f aca="0">C126&amp;"|"&amp;E126&amp;"|"&amp;F126&amp;"|"&amp;G126</x:f>
        <x:v>WK|V05|1|最近公司</x:v>
      </x:c>
    </x:row>
    <x:row r="127" ht="16.5" hidden="0" customHeight="1">
      <x:c r="A127" s="4" t="str">
        <x:f aca="0">C127&amp;"-"&amp;E127&amp;"-R"&amp;F127</x:f>
        <x:v>WK-V05-R1</x:v>
      </x:c>
      <x:c r="B127" s="10"/>
      <x:c r="C127" s="4" t="str">
        <x:f aca="0">Reference!$B$2</x:f>
        <x:v>WK</x:v>
      </x:c>
      <x:c r="D127" s="10"/>
      <x:c r="E127" s="4" t="s">
        <x:v>16</x:v>
      </x:c>
      <x:c r="F127" s="4" t="n">
        <x:v>1</x:v>
      </x:c>
      <x:c r="G127" s="5" t="s">
        <x:v>45</x:v>
      </x:c>
      <x:c r="H127" s="4" t="s">
        <x:v>46</x:v>
      </x:c>
      <x:c r="I127" s="10"/>
      <x:c r="J127" s="10"/>
      <x:c r="K127" s="10"/>
      <x:c r="L127" s="10"/>
      <x:c r="M127" s="1" t="str">
        <x:f aca="0">C127&amp;"|"&amp;E127&amp;"|"&amp;F127&amp;"|"&amp;G127</x:f>
        <x:v>WK|V05|1|最近职位头衔</x:v>
      </x:c>
    </x:row>
    <x:row r="128" ht="16.5" hidden="0" customHeight="1">
      <x:c r="A128" s="4" t="str">
        <x:f aca="0">C128&amp;"-"&amp;E128&amp;"-R"&amp;F128</x:f>
        <x:v>WK-V05-R1</x:v>
      </x:c>
      <x:c r="B128" s="10"/>
      <x:c r="C128" s="4" t="str">
        <x:f aca="0">Reference!$B$2</x:f>
        <x:v>WK</x:v>
      </x:c>
      <x:c r="D128" s="10"/>
      <x:c r="E128" s="4" t="s">
        <x:v>16</x:v>
      </x:c>
      <x:c r="F128" s="4" t="n">
        <x:v>1</x:v>
      </x:c>
      <x:c r="G128" s="5" t="s">
        <x:v>47</x:v>
      </x:c>
      <x:c r="H128" s="4" t="s">
        <x:v>48</x:v>
      </x:c>
      <x:c r="I128" s="10"/>
      <x:c r="J128" s="10"/>
      <x:c r="K128" s="10"/>
      <x:c r="L128" s="10"/>
      <x:c r="M128" s="1" t="str">
        <x:f aca="0">C128&amp;"|"&amp;E128&amp;"|"&amp;F128&amp;"|"&amp;G128</x:f>
        <x:v>WK|V05|1|工作经历条数</x:v>
      </x:c>
    </x:row>
    <x:row r="129" ht="16.5" hidden="0" customHeight="1">
      <x:c r="A129" s="4" t="str">
        <x:f aca="0">C129&amp;"-"&amp;E129&amp;"-R"&amp;F129</x:f>
        <x:v>WK-V05-R1</x:v>
      </x:c>
      <x:c r="B129" s="10"/>
      <x:c r="C129" s="4" t="str">
        <x:f aca="0">Reference!$B$2</x:f>
        <x:v>WK</x:v>
      </x:c>
      <x:c r="D129" s="10"/>
      <x:c r="E129" s="4" t="s">
        <x:v>16</x:v>
      </x:c>
      <x:c r="F129" s="4" t="n">
        <x:v>1</x:v>
      </x:c>
      <x:c r="G129" s="5" t="s">
        <x:v>49</x:v>
      </x:c>
      <x:c r="H129" s="4" t="s">
        <x:v>50</x:v>
      </x:c>
      <x:c r="I129" s="10"/>
      <x:c r="J129" s="10"/>
      <x:c r="K129" s="10"/>
      <x:c r="L129" s="10"/>
      <x:c r="M129" s="1" t="str">
        <x:f aca="0">C129&amp;"|"&amp;E129&amp;"|"&amp;F129&amp;"|"&amp;G129</x:f>
        <x:v>WK|V05|1|起止日期</x:v>
      </x:c>
    </x:row>
    <x:row r="130" ht="16.5" hidden="0" customHeight="1">
      <x:c r="A130" s="4" t="str">
        <x:f aca="0">C130&amp;"-"&amp;E130&amp;"-R"&amp;F130</x:f>
        <x:v>WK-V05-R1</x:v>
      </x:c>
      <x:c r="B130" s="10"/>
      <x:c r="C130" s="4" t="str">
        <x:f aca="0">Reference!$B$2</x:f>
        <x:v>WK</x:v>
      </x:c>
      <x:c r="D130" s="10"/>
      <x:c r="E130" s="4" t="s">
        <x:v>16</x:v>
      </x:c>
      <x:c r="F130" s="4" t="n">
        <x:v>1</x:v>
      </x:c>
      <x:c r="G130" s="5" t="s">
        <x:v>51</x:v>
      </x:c>
      <x:c r="H130" s="4" t="s">
        <x:v>52</x:v>
      </x:c>
      <x:c r="I130" s="10"/>
      <x:c r="J130" s="10"/>
      <x:c r="K130" s="10"/>
      <x:c r="L130" s="10"/>
      <x:c r="M130" s="1" t="str">
        <x:f aca="0">C130&amp;"|"&amp;E130&amp;"|"&amp;F130&amp;"|"&amp;G130</x:f>
        <x:v>WK|V05|1|教育背景</x:v>
      </x:c>
    </x:row>
    <x:row r="131" ht="16.5" hidden="0" customHeight="1">
      <x:c r="A131" s="4" t="str">
        <x:f aca="0">C131&amp;"-"&amp;E131&amp;"-R"&amp;F131</x:f>
        <x:v>WK-V05-R1</x:v>
      </x:c>
      <x:c r="B131" s="10"/>
      <x:c r="C131" s="4" t="str">
        <x:f aca="0">Reference!$B$2</x:f>
        <x:v>WK</x:v>
      </x:c>
      <x:c r="D131" s="10"/>
      <x:c r="E131" s="4" t="s">
        <x:v>16</x:v>
      </x:c>
      <x:c r="F131" s="4" t="n">
        <x:v>1</x:v>
      </x:c>
      <x:c r="G131" s="5" t="s">
        <x:v>53</x:v>
      </x:c>
      <x:c r="H131" s="4" t="s">
        <x:v>54</x:v>
      </x:c>
      <x:c r="I131" s="10"/>
      <x:c r="J131" s="10"/>
      <x:c r="K131" s="10"/>
      <x:c r="L131" s="10"/>
      <x:c r="M131" s="1" t="str">
        <x:f aca="0">C131&amp;"|"&amp;E131&amp;"|"&amp;F131&amp;"|"&amp;G131</x:f>
        <x:v>WK|V05|1|技能识别数量</x:v>
      </x:c>
    </x:row>
    <x:row r="132" ht="16.5" hidden="0" customHeight="1">
      <x:c r="A132" s="4" t="str">
        <x:f aca="0">C132&amp;"-"&amp;E132&amp;"-R"&amp;F132</x:f>
        <x:v>WK-V05-R2</x:v>
      </x:c>
      <x:c r="B132" s="10"/>
      <x:c r="C132" s="4" t="str">
        <x:f aca="0">Reference!$B$2</x:f>
        <x:v>WK</x:v>
      </x:c>
      <x:c r="D132" s="10"/>
      <x:c r="E132" s="4" t="s">
        <x:v>16</x:v>
      </x:c>
      <x:c r="F132" s="4" t="n">
        <x:v>2</x:v>
      </x:c>
      <x:c r="G132" s="5" t="s">
        <x:v>35</x:v>
      </x:c>
      <x:c r="H132" s="4" t="s">
        <x:v>36</x:v>
      </x:c>
      <x:c r="I132" s="10"/>
      <x:c r="J132" s="10"/>
      <x:c r="K132" s="10"/>
      <x:c r="L132" s="10"/>
      <x:c r="M132" s="1" t="str">
        <x:f aca="0">C132&amp;"|"&amp;E132&amp;"|"&amp;F132&amp;"|"&amp;G132</x:f>
        <x:v>WK|V05|2|姓名</x:v>
      </x:c>
    </x:row>
    <x:row r="133" ht="16.5" hidden="0" customHeight="1">
      <x:c r="A133" s="4" t="str">
        <x:f aca="0">C133&amp;"-"&amp;E133&amp;"-R"&amp;F133</x:f>
        <x:v>WK-V05-R2</x:v>
      </x:c>
      <x:c r="B133" s="10"/>
      <x:c r="C133" s="4" t="str">
        <x:f aca="0">Reference!$B$2</x:f>
        <x:v>WK</x:v>
      </x:c>
      <x:c r="D133" s="10"/>
      <x:c r="E133" s="4" t="s">
        <x:v>16</x:v>
      </x:c>
      <x:c r="F133" s="4" t="n">
        <x:v>2</x:v>
      </x:c>
      <x:c r="G133" s="5" t="s">
        <x:v>37</x:v>
      </x:c>
      <x:c r="H133" s="4" t="s">
        <x:v>38</x:v>
      </x:c>
      <x:c r="I133" s="10"/>
      <x:c r="J133" s="10"/>
      <x:c r="K133" s="10"/>
      <x:c r="L133" s="10"/>
      <x:c r="M133" s="1" t="str">
        <x:f aca="0">C133&amp;"|"&amp;E133&amp;"|"&amp;F133&amp;"|"&amp;G133</x:f>
        <x:v>WK|V05|2|邮箱</x:v>
      </x:c>
    </x:row>
    <x:row r="134" ht="16.5" hidden="0" customHeight="1">
      <x:c r="A134" s="4" t="str">
        <x:f aca="0">C134&amp;"-"&amp;E134&amp;"-R"&amp;F134</x:f>
        <x:v>WK-V05-R2</x:v>
      </x:c>
      <x:c r="B134" s="10"/>
      <x:c r="C134" s="4" t="str">
        <x:f aca="0">Reference!$B$2</x:f>
        <x:v>WK</x:v>
      </x:c>
      <x:c r="D134" s="10"/>
      <x:c r="E134" s="4" t="s">
        <x:v>16</x:v>
      </x:c>
      <x:c r="F134" s="4" t="n">
        <x:v>2</x:v>
      </x:c>
      <x:c r="G134" s="5" t="s">
        <x:v>39</x:v>
      </x:c>
      <x:c r="H134" s="4" t="s">
        <x:v>40</x:v>
      </x:c>
      <x:c r="I134" s="10"/>
      <x:c r="J134" s="10"/>
      <x:c r="K134" s="10"/>
      <x:c r="L134" s="10"/>
      <x:c r="M134" s="1" t="str">
        <x:f aca="0">C134&amp;"|"&amp;E134&amp;"|"&amp;F134&amp;"|"&amp;G134</x:f>
        <x:v>WK|V05|2|电话</x:v>
      </x:c>
    </x:row>
    <x:row r="135" ht="16.5" hidden="0" customHeight="1">
      <x:c r="A135" s="4" t="str">
        <x:f aca="0">C135&amp;"-"&amp;E135&amp;"-R"&amp;F135</x:f>
        <x:v>WK-V05-R2</x:v>
      </x:c>
      <x:c r="B135" s="10"/>
      <x:c r="C135" s="4" t="str">
        <x:f aca="0">Reference!$B$2</x:f>
        <x:v>WK</x:v>
      </x:c>
      <x:c r="D135" s="10"/>
      <x:c r="E135" s="4" t="s">
        <x:v>16</x:v>
      </x:c>
      <x:c r="F135" s="4" t="n">
        <x:v>2</x:v>
      </x:c>
      <x:c r="G135" s="5" t="s">
        <x:v>41</x:v>
      </x:c>
      <x:c r="H135" s="4" t="s">
        <x:v>42</x:v>
      </x:c>
      <x:c r="I135" s="10"/>
      <x:c r="J135" s="10"/>
      <x:c r="K135" s="10"/>
      <x:c r="L135" s="10"/>
      <x:c r="M135" s="1" t="str">
        <x:f aca="0">C135&amp;"|"&amp;E135&amp;"|"&amp;F135&amp;"|"&amp;G135</x:f>
        <x:v>WK|V05|2|城市</x:v>
      </x:c>
    </x:row>
    <x:row r="136" ht="16.5" hidden="0" customHeight="1">
      <x:c r="A136" s="4" t="str">
        <x:f aca="0">C136&amp;"-"&amp;E136&amp;"-R"&amp;F136</x:f>
        <x:v>WK-V05-R2</x:v>
      </x:c>
      <x:c r="B136" s="10"/>
      <x:c r="C136" s="4" t="str">
        <x:f aca="0">Reference!$B$2</x:f>
        <x:v>WK</x:v>
      </x:c>
      <x:c r="D136" s="10"/>
      <x:c r="E136" s="4" t="s">
        <x:v>16</x:v>
      </x:c>
      <x:c r="F136" s="4" t="n">
        <x:v>2</x:v>
      </x:c>
      <x:c r="G136" s="5" t="s">
        <x:v>43</x:v>
      </x:c>
      <x:c r="H136" s="4" t="s">
        <x:v>44</x:v>
      </x:c>
      <x:c r="I136" s="10"/>
      <x:c r="J136" s="10"/>
      <x:c r="K136" s="10"/>
      <x:c r="L136" s="10"/>
      <x:c r="M136" s="1" t="str">
        <x:f aca="0">C136&amp;"|"&amp;E136&amp;"|"&amp;F136&amp;"|"&amp;G136</x:f>
        <x:v>WK|V05|2|最近公司</x:v>
      </x:c>
    </x:row>
    <x:row r="137" ht="16.5" hidden="0" customHeight="1">
      <x:c r="A137" s="4" t="str">
        <x:f aca="0">C137&amp;"-"&amp;E137&amp;"-R"&amp;F137</x:f>
        <x:v>WK-V05-R2</x:v>
      </x:c>
      <x:c r="B137" s="10"/>
      <x:c r="C137" s="4" t="str">
        <x:f aca="0">Reference!$B$2</x:f>
        <x:v>WK</x:v>
      </x:c>
      <x:c r="D137" s="10"/>
      <x:c r="E137" s="4" t="s">
        <x:v>16</x:v>
      </x:c>
      <x:c r="F137" s="4" t="n">
        <x:v>2</x:v>
      </x:c>
      <x:c r="G137" s="5" t="s">
        <x:v>45</x:v>
      </x:c>
      <x:c r="H137" s="4" t="s">
        <x:v>46</x:v>
      </x:c>
      <x:c r="I137" s="10"/>
      <x:c r="J137" s="10"/>
      <x:c r="K137" s="10"/>
      <x:c r="L137" s="10"/>
      <x:c r="M137" s="1" t="str">
        <x:f aca="0">C137&amp;"|"&amp;E137&amp;"|"&amp;F137&amp;"|"&amp;G137</x:f>
        <x:v>WK|V05|2|最近职位头衔</x:v>
      </x:c>
    </x:row>
    <x:row r="138" ht="16.5" hidden="0" customHeight="1">
      <x:c r="A138" s="4" t="str">
        <x:f aca="0">C138&amp;"-"&amp;E138&amp;"-R"&amp;F138</x:f>
        <x:v>WK-V05-R2</x:v>
      </x:c>
      <x:c r="B138" s="10"/>
      <x:c r="C138" s="4" t="str">
        <x:f aca="0">Reference!$B$2</x:f>
        <x:v>WK</x:v>
      </x:c>
      <x:c r="D138" s="10"/>
      <x:c r="E138" s="4" t="s">
        <x:v>16</x:v>
      </x:c>
      <x:c r="F138" s="4" t="n">
        <x:v>2</x:v>
      </x:c>
      <x:c r="G138" s="5" t="s">
        <x:v>47</x:v>
      </x:c>
      <x:c r="H138" s="4" t="s">
        <x:v>48</x:v>
      </x:c>
      <x:c r="I138" s="10"/>
      <x:c r="J138" s="10"/>
      <x:c r="K138" s="10"/>
      <x:c r="L138" s="10"/>
      <x:c r="M138" s="1" t="str">
        <x:f aca="0">C138&amp;"|"&amp;E138&amp;"|"&amp;F138&amp;"|"&amp;G138</x:f>
        <x:v>WK|V05|2|工作经历条数</x:v>
      </x:c>
    </x:row>
    <x:row r="139" ht="16.5" hidden="0" customHeight="1">
      <x:c r="A139" s="4" t="str">
        <x:f aca="0">C139&amp;"-"&amp;E139&amp;"-R"&amp;F139</x:f>
        <x:v>WK-V05-R2</x:v>
      </x:c>
      <x:c r="B139" s="10"/>
      <x:c r="C139" s="4" t="str">
        <x:f aca="0">Reference!$B$2</x:f>
        <x:v>WK</x:v>
      </x:c>
      <x:c r="D139" s="10"/>
      <x:c r="E139" s="4" t="s">
        <x:v>16</x:v>
      </x:c>
      <x:c r="F139" s="4" t="n">
        <x:v>2</x:v>
      </x:c>
      <x:c r="G139" s="5" t="s">
        <x:v>49</x:v>
      </x:c>
      <x:c r="H139" s="4" t="s">
        <x:v>50</x:v>
      </x:c>
      <x:c r="I139" s="10"/>
      <x:c r="J139" s="10"/>
      <x:c r="K139" s="10"/>
      <x:c r="L139" s="10"/>
      <x:c r="M139" s="1" t="str">
        <x:f aca="0">C139&amp;"|"&amp;E139&amp;"|"&amp;F139&amp;"|"&amp;G139</x:f>
        <x:v>WK|V05|2|起止日期</x:v>
      </x:c>
    </x:row>
    <x:row r="140" ht="16.5" hidden="0" customHeight="1">
      <x:c r="A140" s="4" t="str">
        <x:f aca="0">C140&amp;"-"&amp;E140&amp;"-R"&amp;F140</x:f>
        <x:v>WK-V05-R2</x:v>
      </x:c>
      <x:c r="B140" s="10"/>
      <x:c r="C140" s="4" t="str">
        <x:f aca="0">Reference!$B$2</x:f>
        <x:v>WK</x:v>
      </x:c>
      <x:c r="D140" s="10"/>
      <x:c r="E140" s="4" t="s">
        <x:v>16</x:v>
      </x:c>
      <x:c r="F140" s="4" t="n">
        <x:v>2</x:v>
      </x:c>
      <x:c r="G140" s="5" t="s">
        <x:v>51</x:v>
      </x:c>
      <x:c r="H140" s="4" t="s">
        <x:v>52</x:v>
      </x:c>
      <x:c r="I140" s="10"/>
      <x:c r="J140" s="10"/>
      <x:c r="K140" s="10"/>
      <x:c r="L140" s="10"/>
      <x:c r="M140" s="1" t="str">
        <x:f aca="0">C140&amp;"|"&amp;E140&amp;"|"&amp;F140&amp;"|"&amp;G140</x:f>
        <x:v>WK|V05|2|教育背景</x:v>
      </x:c>
    </x:row>
    <x:row r="141" ht="16.5" hidden="0" customHeight="1">
      <x:c r="A141" s="4" t="str">
        <x:f aca="0">C141&amp;"-"&amp;E141&amp;"-R"&amp;F141</x:f>
        <x:v>WK-V05-R2</x:v>
      </x:c>
      <x:c r="B141" s="10"/>
      <x:c r="C141" s="4" t="str">
        <x:f aca="0">Reference!$B$2</x:f>
        <x:v>WK</x:v>
      </x:c>
      <x:c r="D141" s="10"/>
      <x:c r="E141" s="4" t="s">
        <x:v>16</x:v>
      </x:c>
      <x:c r="F141" s="4" t="n">
        <x:v>2</x:v>
      </x:c>
      <x:c r="G141" s="5" t="s">
        <x:v>53</x:v>
      </x:c>
      <x:c r="H141" s="4" t="s">
        <x:v>54</x:v>
      </x:c>
      <x:c r="I141" s="10"/>
      <x:c r="J141" s="10"/>
      <x:c r="K141" s="10"/>
      <x:c r="L141" s="10"/>
      <x:c r="M141" s="1" t="str">
        <x:f aca="0">C141&amp;"|"&amp;E141&amp;"|"&amp;F141&amp;"|"&amp;G141</x:f>
        <x:v>WK|V05|2|技能识别数量</x:v>
      </x:c>
    </x:row>
    <x:row r="142" ht="16.5" hidden="0" customHeight="1">
      <x:c r="A142" s="4" t="str">
        <x:f aca="0">C142&amp;"-"&amp;E142&amp;"-R"&amp;F142</x:f>
        <x:v>WK-V05-R3</x:v>
      </x:c>
      <x:c r="B142" s="10"/>
      <x:c r="C142" s="4" t="str">
        <x:f aca="0">Reference!$B$2</x:f>
        <x:v>WK</x:v>
      </x:c>
      <x:c r="D142" s="10"/>
      <x:c r="E142" s="4" t="s">
        <x:v>16</x:v>
      </x:c>
      <x:c r="F142" s="4" t="n">
        <x:v>3</x:v>
      </x:c>
      <x:c r="G142" s="5" t="s">
        <x:v>35</x:v>
      </x:c>
      <x:c r="H142" s="4" t="s">
        <x:v>36</x:v>
      </x:c>
      <x:c r="I142" s="10"/>
      <x:c r="J142" s="10"/>
      <x:c r="K142" s="10"/>
      <x:c r="L142" s="10"/>
      <x:c r="M142" s="1" t="str">
        <x:f aca="0">C142&amp;"|"&amp;E142&amp;"|"&amp;F142&amp;"|"&amp;G142</x:f>
        <x:v>WK|V05|3|姓名</x:v>
      </x:c>
    </x:row>
    <x:row r="143" ht="16.5" hidden="0" customHeight="1">
      <x:c r="A143" s="4" t="str">
        <x:f aca="0">C143&amp;"-"&amp;E143&amp;"-R"&amp;F143</x:f>
        <x:v>WK-V05-R3</x:v>
      </x:c>
      <x:c r="B143" s="10"/>
      <x:c r="C143" s="4" t="str">
        <x:f aca="0">Reference!$B$2</x:f>
        <x:v>WK</x:v>
      </x:c>
      <x:c r="D143" s="10"/>
      <x:c r="E143" s="4" t="s">
        <x:v>16</x:v>
      </x:c>
      <x:c r="F143" s="4" t="n">
        <x:v>3</x:v>
      </x:c>
      <x:c r="G143" s="5" t="s">
        <x:v>37</x:v>
      </x:c>
      <x:c r="H143" s="4" t="s">
        <x:v>38</x:v>
      </x:c>
      <x:c r="I143" s="10"/>
      <x:c r="J143" s="10"/>
      <x:c r="K143" s="10"/>
      <x:c r="L143" s="10"/>
      <x:c r="M143" s="1" t="str">
        <x:f aca="0">C143&amp;"|"&amp;E143&amp;"|"&amp;F143&amp;"|"&amp;G143</x:f>
        <x:v>WK|V05|3|邮箱</x:v>
      </x:c>
    </x:row>
    <x:row r="144" ht="16.5" hidden="0" customHeight="1">
      <x:c r="A144" s="4" t="str">
        <x:f aca="0">C144&amp;"-"&amp;E144&amp;"-R"&amp;F144</x:f>
        <x:v>WK-V05-R3</x:v>
      </x:c>
      <x:c r="B144" s="10"/>
      <x:c r="C144" s="4" t="str">
        <x:f aca="0">Reference!$B$2</x:f>
        <x:v>WK</x:v>
      </x:c>
      <x:c r="D144" s="10"/>
      <x:c r="E144" s="4" t="s">
        <x:v>16</x:v>
      </x:c>
      <x:c r="F144" s="4" t="n">
        <x:v>3</x:v>
      </x:c>
      <x:c r="G144" s="5" t="s">
        <x:v>39</x:v>
      </x:c>
      <x:c r="H144" s="4" t="s">
        <x:v>40</x:v>
      </x:c>
      <x:c r="I144" s="10"/>
      <x:c r="J144" s="10"/>
      <x:c r="K144" s="10"/>
      <x:c r="L144" s="10"/>
      <x:c r="M144" s="1" t="str">
        <x:f aca="0">C144&amp;"|"&amp;E144&amp;"|"&amp;F144&amp;"|"&amp;G144</x:f>
        <x:v>WK|V05|3|电话</x:v>
      </x:c>
    </x:row>
    <x:row r="145" ht="16.5" hidden="0" customHeight="1">
      <x:c r="A145" s="4" t="str">
        <x:f aca="0">C145&amp;"-"&amp;E145&amp;"-R"&amp;F145</x:f>
        <x:v>WK-V05-R3</x:v>
      </x:c>
      <x:c r="B145" s="10"/>
      <x:c r="C145" s="4" t="str">
        <x:f aca="0">Reference!$B$2</x:f>
        <x:v>WK</x:v>
      </x:c>
      <x:c r="D145" s="10"/>
      <x:c r="E145" s="4" t="s">
        <x:v>16</x:v>
      </x:c>
      <x:c r="F145" s="4" t="n">
        <x:v>3</x:v>
      </x:c>
      <x:c r="G145" s="5" t="s">
        <x:v>41</x:v>
      </x:c>
      <x:c r="H145" s="4" t="s">
        <x:v>42</x:v>
      </x:c>
      <x:c r="I145" s="10"/>
      <x:c r="J145" s="10"/>
      <x:c r="K145" s="10"/>
      <x:c r="L145" s="10"/>
      <x:c r="M145" s="1" t="str">
        <x:f aca="0">C145&amp;"|"&amp;E145&amp;"|"&amp;F145&amp;"|"&amp;G145</x:f>
        <x:v>WK|V05|3|城市</x:v>
      </x:c>
    </x:row>
    <x:row r="146" ht="16.5" hidden="0" customHeight="1">
      <x:c r="A146" s="4" t="str">
        <x:f aca="0">C146&amp;"-"&amp;E146&amp;"-R"&amp;F146</x:f>
        <x:v>WK-V05-R3</x:v>
      </x:c>
      <x:c r="B146" s="10"/>
      <x:c r="C146" s="4" t="str">
        <x:f aca="0">Reference!$B$2</x:f>
        <x:v>WK</x:v>
      </x:c>
      <x:c r="D146" s="10"/>
      <x:c r="E146" s="4" t="s">
        <x:v>16</x:v>
      </x:c>
      <x:c r="F146" s="4" t="n">
        <x:v>3</x:v>
      </x:c>
      <x:c r="G146" s="5" t="s">
        <x:v>43</x:v>
      </x:c>
      <x:c r="H146" s="4" t="s">
        <x:v>44</x:v>
      </x:c>
      <x:c r="I146" s="10"/>
      <x:c r="J146" s="10"/>
      <x:c r="K146" s="10"/>
      <x:c r="L146" s="10"/>
      <x:c r="M146" s="1" t="str">
        <x:f aca="0">C146&amp;"|"&amp;E146&amp;"|"&amp;F146&amp;"|"&amp;G146</x:f>
        <x:v>WK|V05|3|最近公司</x:v>
      </x:c>
    </x:row>
    <x:row r="147" ht="16.5" hidden="0" customHeight="1">
      <x:c r="A147" s="4" t="str">
        <x:f aca="0">C147&amp;"-"&amp;E147&amp;"-R"&amp;F147</x:f>
        <x:v>WK-V05-R3</x:v>
      </x:c>
      <x:c r="B147" s="10"/>
      <x:c r="C147" s="4" t="str">
        <x:f aca="0">Reference!$B$2</x:f>
        <x:v>WK</x:v>
      </x:c>
      <x:c r="D147" s="10"/>
      <x:c r="E147" s="4" t="s">
        <x:v>16</x:v>
      </x:c>
      <x:c r="F147" s="4" t="n">
        <x:v>3</x:v>
      </x:c>
      <x:c r="G147" s="5" t="s">
        <x:v>45</x:v>
      </x:c>
      <x:c r="H147" s="4" t="s">
        <x:v>46</x:v>
      </x:c>
      <x:c r="I147" s="10"/>
      <x:c r="J147" s="10"/>
      <x:c r="K147" s="10"/>
      <x:c r="L147" s="10"/>
      <x:c r="M147" s="1" t="str">
        <x:f aca="0">C147&amp;"|"&amp;E147&amp;"|"&amp;F147&amp;"|"&amp;G147</x:f>
        <x:v>WK|V05|3|最近职位头衔</x:v>
      </x:c>
    </x:row>
    <x:row r="148" ht="16.5" hidden="0" customHeight="1">
      <x:c r="A148" s="4" t="str">
        <x:f aca="0">C148&amp;"-"&amp;E148&amp;"-R"&amp;F148</x:f>
        <x:v>WK-V05-R3</x:v>
      </x:c>
      <x:c r="B148" s="10"/>
      <x:c r="C148" s="4" t="str">
        <x:f aca="0">Reference!$B$2</x:f>
        <x:v>WK</x:v>
      </x:c>
      <x:c r="D148" s="10"/>
      <x:c r="E148" s="4" t="s">
        <x:v>16</x:v>
      </x:c>
      <x:c r="F148" s="4" t="n">
        <x:v>3</x:v>
      </x:c>
      <x:c r="G148" s="5" t="s">
        <x:v>47</x:v>
      </x:c>
      <x:c r="H148" s="4" t="s">
        <x:v>48</x:v>
      </x:c>
      <x:c r="I148" s="10"/>
      <x:c r="J148" s="10"/>
      <x:c r="K148" s="10"/>
      <x:c r="L148" s="10"/>
      <x:c r="M148" s="1" t="str">
        <x:f aca="0">C148&amp;"|"&amp;E148&amp;"|"&amp;F148&amp;"|"&amp;G148</x:f>
        <x:v>WK|V05|3|工作经历条数</x:v>
      </x:c>
    </x:row>
    <x:row r="149" ht="16.5" hidden="0" customHeight="1">
      <x:c r="A149" s="4" t="str">
        <x:f aca="0">C149&amp;"-"&amp;E149&amp;"-R"&amp;F149</x:f>
        <x:v>WK-V05-R3</x:v>
      </x:c>
      <x:c r="B149" s="10"/>
      <x:c r="C149" s="4" t="str">
        <x:f aca="0">Reference!$B$2</x:f>
        <x:v>WK</x:v>
      </x:c>
      <x:c r="D149" s="10"/>
      <x:c r="E149" s="4" t="s">
        <x:v>16</x:v>
      </x:c>
      <x:c r="F149" s="4" t="n">
        <x:v>3</x:v>
      </x:c>
      <x:c r="G149" s="5" t="s">
        <x:v>49</x:v>
      </x:c>
      <x:c r="H149" s="4" t="s">
        <x:v>50</x:v>
      </x:c>
      <x:c r="I149" s="10"/>
      <x:c r="J149" s="10"/>
      <x:c r="K149" s="10"/>
      <x:c r="L149" s="10"/>
      <x:c r="M149" s="1" t="str">
        <x:f aca="0">C149&amp;"|"&amp;E149&amp;"|"&amp;F149&amp;"|"&amp;G149</x:f>
        <x:v>WK|V05|3|起止日期</x:v>
      </x:c>
    </x:row>
    <x:row r="150" ht="16.5" hidden="0" customHeight="1">
      <x:c r="A150" s="4" t="str">
        <x:f aca="0">C150&amp;"-"&amp;E150&amp;"-R"&amp;F150</x:f>
        <x:v>WK-V05-R3</x:v>
      </x:c>
      <x:c r="B150" s="10"/>
      <x:c r="C150" s="4" t="str">
        <x:f aca="0">Reference!$B$2</x:f>
        <x:v>WK</x:v>
      </x:c>
      <x:c r="D150" s="10"/>
      <x:c r="E150" s="4" t="s">
        <x:v>16</x:v>
      </x:c>
      <x:c r="F150" s="4" t="n">
        <x:v>3</x:v>
      </x:c>
      <x:c r="G150" s="5" t="s">
        <x:v>51</x:v>
      </x:c>
      <x:c r="H150" s="4" t="s">
        <x:v>52</x:v>
      </x:c>
      <x:c r="I150" s="10"/>
      <x:c r="J150" s="10"/>
      <x:c r="K150" s="10"/>
      <x:c r="L150" s="10"/>
      <x:c r="M150" s="1" t="str">
        <x:f aca="0">C150&amp;"|"&amp;E150&amp;"|"&amp;F150&amp;"|"&amp;G150</x:f>
        <x:v>WK|V05|3|教育背景</x:v>
      </x:c>
    </x:row>
    <x:row r="151" ht="16.5" hidden="0" customHeight="1">
      <x:c r="A151" s="4" t="str">
        <x:f aca="0">C151&amp;"-"&amp;E151&amp;"-R"&amp;F151</x:f>
        <x:v>WK-V05-R3</x:v>
      </x:c>
      <x:c r="B151" s="10"/>
      <x:c r="C151" s="4" t="str">
        <x:f aca="0">Reference!$B$2</x:f>
        <x:v>WK</x:v>
      </x:c>
      <x:c r="D151" s="10"/>
      <x:c r="E151" s="4" t="s">
        <x:v>16</x:v>
      </x:c>
      <x:c r="F151" s="4" t="n">
        <x:v>3</x:v>
      </x:c>
      <x:c r="G151" s="5" t="s">
        <x:v>53</x:v>
      </x:c>
      <x:c r="H151" s="4" t="s">
        <x:v>54</x:v>
      </x:c>
      <x:c r="I151" s="10"/>
      <x:c r="J151" s="10"/>
      <x:c r="K151" s="10"/>
      <x:c r="L151" s="10"/>
      <x:c r="M151" s="1" t="str">
        <x:f aca="0">C151&amp;"|"&amp;E151&amp;"|"&amp;F151&amp;"|"&amp;G151</x:f>
        <x:v>WK|V05|3|技能识别数量</x:v>
      </x:c>
    </x:row>
    <x:row r="152" ht="16.5" hidden="0" customHeight="1">
      <x:c r="A152" s="11" t="str">
        <x:f aca="0">C152&amp;"-"&amp;E152&amp;"-R"&amp;F152</x:f>
        <x:v>WK-V06-R1</x:v>
      </x:c>
      <x:c r="B152" s="10"/>
      <x:c r="C152" s="11" t="str">
        <x:f aca="0">Reference!$B$2</x:f>
        <x:v>WK</x:v>
      </x:c>
      <x:c r="D152" s="10"/>
      <x:c r="E152" s="11" t="s">
        <x:v>18</x:v>
      </x:c>
      <x:c r="F152" s="11" t="n">
        <x:v>1</x:v>
      </x:c>
      <x:c r="G152" s="12" t="s">
        <x:v>35</x:v>
      </x:c>
      <x:c r="H152" s="11" t="s">
        <x:v>36</x:v>
      </x:c>
      <x:c r="I152" s="10"/>
      <x:c r="J152" s="10"/>
      <x:c r="K152" s="10"/>
      <x:c r="L152" s="10"/>
      <x:c r="M152" s="1" t="str">
        <x:f aca="0">C152&amp;"|"&amp;E152&amp;"|"&amp;F152&amp;"|"&amp;G152</x:f>
        <x:v>WK|V06|1|姓名</x:v>
      </x:c>
    </x:row>
    <x:row r="153" ht="16.5" hidden="0" customHeight="1">
      <x:c r="A153" s="11" t="str">
        <x:f aca="0">C153&amp;"-"&amp;E153&amp;"-R"&amp;F153</x:f>
        <x:v>WK-V06-R1</x:v>
      </x:c>
      <x:c r="B153" s="10"/>
      <x:c r="C153" s="11" t="str">
        <x:f aca="0">Reference!$B$2</x:f>
        <x:v>WK</x:v>
      </x:c>
      <x:c r="D153" s="10"/>
      <x:c r="E153" s="11" t="s">
        <x:v>18</x:v>
      </x:c>
      <x:c r="F153" s="11" t="n">
        <x:v>1</x:v>
      </x:c>
      <x:c r="G153" s="12" t="s">
        <x:v>37</x:v>
      </x:c>
      <x:c r="H153" s="11" t="s">
        <x:v>38</x:v>
      </x:c>
      <x:c r="I153" s="10"/>
      <x:c r="J153" s="10"/>
      <x:c r="K153" s="10"/>
      <x:c r="L153" s="10"/>
      <x:c r="M153" s="1" t="str">
        <x:f aca="0">C153&amp;"|"&amp;E153&amp;"|"&amp;F153&amp;"|"&amp;G153</x:f>
        <x:v>WK|V06|1|邮箱</x:v>
      </x:c>
    </x:row>
    <x:row r="154" ht="16.5" hidden="0" customHeight="1">
      <x:c r="A154" s="11" t="str">
        <x:f aca="0">C154&amp;"-"&amp;E154&amp;"-R"&amp;F154</x:f>
        <x:v>WK-V06-R1</x:v>
      </x:c>
      <x:c r="B154" s="10"/>
      <x:c r="C154" s="11" t="str">
        <x:f aca="0">Reference!$B$2</x:f>
        <x:v>WK</x:v>
      </x:c>
      <x:c r="D154" s="10"/>
      <x:c r="E154" s="11" t="s">
        <x:v>18</x:v>
      </x:c>
      <x:c r="F154" s="11" t="n">
        <x:v>1</x:v>
      </x:c>
      <x:c r="G154" s="12" t="s">
        <x:v>39</x:v>
      </x:c>
      <x:c r="H154" s="11" t="s">
        <x:v>40</x:v>
      </x:c>
      <x:c r="I154" s="10"/>
      <x:c r="J154" s="10"/>
      <x:c r="K154" s="10"/>
      <x:c r="L154" s="10"/>
      <x:c r="M154" s="1" t="str">
        <x:f aca="0">C154&amp;"|"&amp;E154&amp;"|"&amp;F154&amp;"|"&amp;G154</x:f>
        <x:v>WK|V06|1|电话</x:v>
      </x:c>
    </x:row>
    <x:row r="155" ht="16.5" hidden="0" customHeight="1">
      <x:c r="A155" s="11" t="str">
        <x:f aca="0">C155&amp;"-"&amp;E155&amp;"-R"&amp;F155</x:f>
        <x:v>WK-V06-R1</x:v>
      </x:c>
      <x:c r="B155" s="10"/>
      <x:c r="C155" s="11" t="str">
        <x:f aca="0">Reference!$B$2</x:f>
        <x:v>WK</x:v>
      </x:c>
      <x:c r="D155" s="10"/>
      <x:c r="E155" s="11" t="s">
        <x:v>18</x:v>
      </x:c>
      <x:c r="F155" s="11" t="n">
        <x:v>1</x:v>
      </x:c>
      <x:c r="G155" s="12" t="s">
        <x:v>41</x:v>
      </x:c>
      <x:c r="H155" s="11" t="s">
        <x:v>42</x:v>
      </x:c>
      <x:c r="I155" s="10"/>
      <x:c r="J155" s="10"/>
      <x:c r="K155" s="10"/>
      <x:c r="L155" s="10"/>
      <x:c r="M155" s="1" t="str">
        <x:f aca="0">C155&amp;"|"&amp;E155&amp;"|"&amp;F155&amp;"|"&amp;G155</x:f>
        <x:v>WK|V06|1|城市</x:v>
      </x:c>
    </x:row>
    <x:row r="156" ht="16.5" hidden="0" customHeight="1">
      <x:c r="A156" s="11" t="str">
        <x:f aca="0">C156&amp;"-"&amp;E156&amp;"-R"&amp;F156</x:f>
        <x:v>WK-V06-R1</x:v>
      </x:c>
      <x:c r="B156" s="10"/>
      <x:c r="C156" s="11" t="str">
        <x:f aca="0">Reference!$B$2</x:f>
        <x:v>WK</x:v>
      </x:c>
      <x:c r="D156" s="10"/>
      <x:c r="E156" s="11" t="s">
        <x:v>18</x:v>
      </x:c>
      <x:c r="F156" s="11" t="n">
        <x:v>1</x:v>
      </x:c>
      <x:c r="G156" s="12" t="s">
        <x:v>43</x:v>
      </x:c>
      <x:c r="H156" s="11" t="s">
        <x:v>44</x:v>
      </x:c>
      <x:c r="I156" s="10"/>
      <x:c r="J156" s="10"/>
      <x:c r="K156" s="10"/>
      <x:c r="L156" s="10"/>
      <x:c r="M156" s="1" t="str">
        <x:f aca="0">C156&amp;"|"&amp;E156&amp;"|"&amp;F156&amp;"|"&amp;G156</x:f>
        <x:v>WK|V06|1|最近公司</x:v>
      </x:c>
    </x:row>
    <x:row r="157" ht="16.5" hidden="0" customHeight="1">
      <x:c r="A157" s="11" t="str">
        <x:f aca="0">C157&amp;"-"&amp;E157&amp;"-R"&amp;F157</x:f>
        <x:v>WK-V06-R1</x:v>
      </x:c>
      <x:c r="B157" s="10"/>
      <x:c r="C157" s="11" t="str">
        <x:f aca="0">Reference!$B$2</x:f>
        <x:v>WK</x:v>
      </x:c>
      <x:c r="D157" s="10"/>
      <x:c r="E157" s="11" t="s">
        <x:v>18</x:v>
      </x:c>
      <x:c r="F157" s="11" t="n">
        <x:v>1</x:v>
      </x:c>
      <x:c r="G157" s="12" t="s">
        <x:v>45</x:v>
      </x:c>
      <x:c r="H157" s="11" t="s">
        <x:v>46</x:v>
      </x:c>
      <x:c r="I157" s="10"/>
      <x:c r="J157" s="10"/>
      <x:c r="K157" s="10"/>
      <x:c r="L157" s="10"/>
      <x:c r="M157" s="1" t="str">
        <x:f aca="0">C157&amp;"|"&amp;E157&amp;"|"&amp;F157&amp;"|"&amp;G157</x:f>
        <x:v>WK|V06|1|最近职位头衔</x:v>
      </x:c>
    </x:row>
    <x:row r="158" ht="16.5" hidden="0" customHeight="1">
      <x:c r="A158" s="11" t="str">
        <x:f aca="0">C158&amp;"-"&amp;E158&amp;"-R"&amp;F158</x:f>
        <x:v>WK-V06-R1</x:v>
      </x:c>
      <x:c r="B158" s="10"/>
      <x:c r="C158" s="11" t="str">
        <x:f aca="0">Reference!$B$2</x:f>
        <x:v>WK</x:v>
      </x:c>
      <x:c r="D158" s="10"/>
      <x:c r="E158" s="11" t="s">
        <x:v>18</x:v>
      </x:c>
      <x:c r="F158" s="11" t="n">
        <x:v>1</x:v>
      </x:c>
      <x:c r="G158" s="12" t="s">
        <x:v>47</x:v>
      </x:c>
      <x:c r="H158" s="11" t="s">
        <x:v>48</x:v>
      </x:c>
      <x:c r="I158" s="10"/>
      <x:c r="J158" s="10"/>
      <x:c r="K158" s="10"/>
      <x:c r="L158" s="10"/>
      <x:c r="M158" s="1" t="str">
        <x:f aca="0">C158&amp;"|"&amp;E158&amp;"|"&amp;F158&amp;"|"&amp;G158</x:f>
        <x:v>WK|V06|1|工作经历条数</x:v>
      </x:c>
    </x:row>
    <x:row r="159" ht="16.5" hidden="0" customHeight="1">
      <x:c r="A159" s="11" t="str">
        <x:f aca="0">C159&amp;"-"&amp;E159&amp;"-R"&amp;F159</x:f>
        <x:v>WK-V06-R1</x:v>
      </x:c>
      <x:c r="B159" s="10"/>
      <x:c r="C159" s="11" t="str">
        <x:f aca="0">Reference!$B$2</x:f>
        <x:v>WK</x:v>
      </x:c>
      <x:c r="D159" s="10"/>
      <x:c r="E159" s="11" t="s">
        <x:v>18</x:v>
      </x:c>
      <x:c r="F159" s="11" t="n">
        <x:v>1</x:v>
      </x:c>
      <x:c r="G159" s="12" t="s">
        <x:v>49</x:v>
      </x:c>
      <x:c r="H159" s="11" t="s">
        <x:v>50</x:v>
      </x:c>
      <x:c r="I159" s="10"/>
      <x:c r="J159" s="10"/>
      <x:c r="K159" s="10"/>
      <x:c r="L159" s="10"/>
      <x:c r="M159" s="1" t="str">
        <x:f aca="0">C159&amp;"|"&amp;E159&amp;"|"&amp;F159&amp;"|"&amp;G159</x:f>
        <x:v>WK|V06|1|起止日期</x:v>
      </x:c>
    </x:row>
    <x:row r="160" ht="16.5" hidden="0" customHeight="1">
      <x:c r="A160" s="11" t="str">
        <x:f aca="0">C160&amp;"-"&amp;E160&amp;"-R"&amp;F160</x:f>
        <x:v>WK-V06-R1</x:v>
      </x:c>
      <x:c r="B160" s="10"/>
      <x:c r="C160" s="11" t="str">
        <x:f aca="0">Reference!$B$2</x:f>
        <x:v>WK</x:v>
      </x:c>
      <x:c r="D160" s="10"/>
      <x:c r="E160" s="11" t="s">
        <x:v>18</x:v>
      </x:c>
      <x:c r="F160" s="11" t="n">
        <x:v>1</x:v>
      </x:c>
      <x:c r="G160" s="12" t="s">
        <x:v>51</x:v>
      </x:c>
      <x:c r="H160" s="11" t="s">
        <x:v>52</x:v>
      </x:c>
      <x:c r="I160" s="10"/>
      <x:c r="J160" s="10"/>
      <x:c r="K160" s="10"/>
      <x:c r="L160" s="10"/>
      <x:c r="M160" s="1" t="str">
        <x:f aca="0">C160&amp;"|"&amp;E160&amp;"|"&amp;F160&amp;"|"&amp;G160</x:f>
        <x:v>WK|V06|1|教育背景</x:v>
      </x:c>
    </x:row>
    <x:row r="161" ht="16.5" hidden="0" customHeight="1">
      <x:c r="A161" s="11" t="str">
        <x:f aca="0">C161&amp;"-"&amp;E161&amp;"-R"&amp;F161</x:f>
        <x:v>WK-V06-R1</x:v>
      </x:c>
      <x:c r="B161" s="10"/>
      <x:c r="C161" s="11" t="str">
        <x:f aca="0">Reference!$B$2</x:f>
        <x:v>WK</x:v>
      </x:c>
      <x:c r="D161" s="10"/>
      <x:c r="E161" s="11" t="s">
        <x:v>18</x:v>
      </x:c>
      <x:c r="F161" s="11" t="n">
        <x:v>1</x:v>
      </x:c>
      <x:c r="G161" s="12" t="s">
        <x:v>53</x:v>
      </x:c>
      <x:c r="H161" s="11" t="s">
        <x:v>54</x:v>
      </x:c>
      <x:c r="I161" s="10"/>
      <x:c r="J161" s="10"/>
      <x:c r="K161" s="10"/>
      <x:c r="L161" s="10"/>
      <x:c r="M161" s="1" t="str">
        <x:f aca="0">C161&amp;"|"&amp;E161&amp;"|"&amp;F161&amp;"|"&amp;G161</x:f>
        <x:v>WK|V06|1|技能识别数量</x:v>
      </x:c>
    </x:row>
    <x:row r="162" ht="16.5" hidden="0" customHeight="1">
      <x:c r="A162" s="11" t="str">
        <x:f aca="0">C162&amp;"-"&amp;E162&amp;"-R"&amp;F162</x:f>
        <x:v>WK-V06-R2</x:v>
      </x:c>
      <x:c r="B162" s="10"/>
      <x:c r="C162" s="11" t="str">
        <x:f aca="0">Reference!$B$2</x:f>
        <x:v>WK</x:v>
      </x:c>
      <x:c r="D162" s="10"/>
      <x:c r="E162" s="11" t="s">
        <x:v>18</x:v>
      </x:c>
      <x:c r="F162" s="11" t="n">
        <x:v>2</x:v>
      </x:c>
      <x:c r="G162" s="12" t="s">
        <x:v>35</x:v>
      </x:c>
      <x:c r="H162" s="11" t="s">
        <x:v>36</x:v>
      </x:c>
      <x:c r="I162" s="10"/>
      <x:c r="J162" s="10"/>
      <x:c r="K162" s="10"/>
      <x:c r="L162" s="10"/>
      <x:c r="M162" s="1" t="str">
        <x:f aca="0">C162&amp;"|"&amp;E162&amp;"|"&amp;F162&amp;"|"&amp;G162</x:f>
        <x:v>WK|V06|2|姓名</x:v>
      </x:c>
    </x:row>
    <x:row r="163" ht="16.5" hidden="0" customHeight="1">
      <x:c r="A163" s="11" t="str">
        <x:f aca="0">C163&amp;"-"&amp;E163&amp;"-R"&amp;F163</x:f>
        <x:v>WK-V06-R2</x:v>
      </x:c>
      <x:c r="B163" s="10"/>
      <x:c r="C163" s="11" t="str">
        <x:f aca="0">Reference!$B$2</x:f>
        <x:v>WK</x:v>
      </x:c>
      <x:c r="D163" s="10"/>
      <x:c r="E163" s="11" t="s">
        <x:v>18</x:v>
      </x:c>
      <x:c r="F163" s="11" t="n">
        <x:v>2</x:v>
      </x:c>
      <x:c r="G163" s="12" t="s">
        <x:v>37</x:v>
      </x:c>
      <x:c r="H163" s="11" t="s">
        <x:v>38</x:v>
      </x:c>
      <x:c r="I163" s="10"/>
      <x:c r="J163" s="10"/>
      <x:c r="K163" s="10"/>
      <x:c r="L163" s="10"/>
      <x:c r="M163" s="1" t="str">
        <x:f aca="0">C163&amp;"|"&amp;E163&amp;"|"&amp;F163&amp;"|"&amp;G163</x:f>
        <x:v>WK|V06|2|邮箱</x:v>
      </x:c>
    </x:row>
    <x:row r="164" ht="16.5" hidden="0" customHeight="1">
      <x:c r="A164" s="11" t="str">
        <x:f aca="0">C164&amp;"-"&amp;E164&amp;"-R"&amp;F164</x:f>
        <x:v>WK-V06-R2</x:v>
      </x:c>
      <x:c r="B164" s="10"/>
      <x:c r="C164" s="11" t="str">
        <x:f aca="0">Reference!$B$2</x:f>
        <x:v>WK</x:v>
      </x:c>
      <x:c r="D164" s="10"/>
      <x:c r="E164" s="11" t="s">
        <x:v>18</x:v>
      </x:c>
      <x:c r="F164" s="11" t="n">
        <x:v>2</x:v>
      </x:c>
      <x:c r="G164" s="12" t="s">
        <x:v>39</x:v>
      </x:c>
      <x:c r="H164" s="11" t="s">
        <x:v>40</x:v>
      </x:c>
      <x:c r="I164" s="10"/>
      <x:c r="J164" s="10"/>
      <x:c r="K164" s="10"/>
      <x:c r="L164" s="10"/>
      <x:c r="M164" s="1" t="str">
        <x:f aca="0">C164&amp;"|"&amp;E164&amp;"|"&amp;F164&amp;"|"&amp;G164</x:f>
        <x:v>WK|V06|2|电话</x:v>
      </x:c>
    </x:row>
    <x:row r="165" ht="16.5" hidden="0" customHeight="1">
      <x:c r="A165" s="11" t="str">
        <x:f aca="0">C165&amp;"-"&amp;E165&amp;"-R"&amp;F165</x:f>
        <x:v>WK-V06-R2</x:v>
      </x:c>
      <x:c r="B165" s="10"/>
      <x:c r="C165" s="11" t="str">
        <x:f aca="0">Reference!$B$2</x:f>
        <x:v>WK</x:v>
      </x:c>
      <x:c r="D165" s="10"/>
      <x:c r="E165" s="11" t="s">
        <x:v>18</x:v>
      </x:c>
      <x:c r="F165" s="11" t="n">
        <x:v>2</x:v>
      </x:c>
      <x:c r="G165" s="12" t="s">
        <x:v>41</x:v>
      </x:c>
      <x:c r="H165" s="11" t="s">
        <x:v>42</x:v>
      </x:c>
      <x:c r="I165" s="10"/>
      <x:c r="J165" s="10"/>
      <x:c r="K165" s="10"/>
      <x:c r="L165" s="10"/>
      <x:c r="M165" s="1" t="str">
        <x:f aca="0">C165&amp;"|"&amp;E165&amp;"|"&amp;F165&amp;"|"&amp;G165</x:f>
        <x:v>WK|V06|2|城市</x:v>
      </x:c>
    </x:row>
    <x:row r="166" ht="16.5" hidden="0" customHeight="1">
      <x:c r="A166" s="11" t="str">
        <x:f aca="0">C166&amp;"-"&amp;E166&amp;"-R"&amp;F166</x:f>
        <x:v>WK-V06-R2</x:v>
      </x:c>
      <x:c r="B166" s="10"/>
      <x:c r="C166" s="11" t="str">
        <x:f aca="0">Reference!$B$2</x:f>
        <x:v>WK</x:v>
      </x:c>
      <x:c r="D166" s="10"/>
      <x:c r="E166" s="11" t="s">
        <x:v>18</x:v>
      </x:c>
      <x:c r="F166" s="11" t="n">
        <x:v>2</x:v>
      </x:c>
      <x:c r="G166" s="12" t="s">
        <x:v>43</x:v>
      </x:c>
      <x:c r="H166" s="11" t="s">
        <x:v>44</x:v>
      </x:c>
      <x:c r="I166" s="10"/>
      <x:c r="J166" s="10"/>
      <x:c r="K166" s="10"/>
      <x:c r="L166" s="10"/>
      <x:c r="M166" s="1" t="str">
        <x:f aca="0">C166&amp;"|"&amp;E166&amp;"|"&amp;F166&amp;"|"&amp;G166</x:f>
        <x:v>WK|V06|2|最近公司</x:v>
      </x:c>
    </x:row>
    <x:row r="167" ht="16.5" hidden="0" customHeight="1">
      <x:c r="A167" s="11" t="str">
        <x:f aca="0">C167&amp;"-"&amp;E167&amp;"-R"&amp;F167</x:f>
        <x:v>WK-V06-R2</x:v>
      </x:c>
      <x:c r="B167" s="10"/>
      <x:c r="C167" s="11" t="str">
        <x:f aca="0">Reference!$B$2</x:f>
        <x:v>WK</x:v>
      </x:c>
      <x:c r="D167" s="10"/>
      <x:c r="E167" s="11" t="s">
        <x:v>18</x:v>
      </x:c>
      <x:c r="F167" s="11" t="n">
        <x:v>2</x:v>
      </x:c>
      <x:c r="G167" s="12" t="s">
        <x:v>45</x:v>
      </x:c>
      <x:c r="H167" s="11" t="s">
        <x:v>46</x:v>
      </x:c>
      <x:c r="I167" s="10"/>
      <x:c r="J167" s="10"/>
      <x:c r="K167" s="10"/>
      <x:c r="L167" s="10"/>
      <x:c r="M167" s="1" t="str">
        <x:f aca="0">C167&amp;"|"&amp;E167&amp;"|"&amp;F167&amp;"|"&amp;G167</x:f>
        <x:v>WK|V06|2|最近职位头衔</x:v>
      </x:c>
    </x:row>
    <x:row r="168" ht="16.5" hidden="0" customHeight="1">
      <x:c r="A168" s="11" t="str">
        <x:f aca="0">C168&amp;"-"&amp;E168&amp;"-R"&amp;F168</x:f>
        <x:v>WK-V06-R2</x:v>
      </x:c>
      <x:c r="B168" s="10"/>
      <x:c r="C168" s="11" t="str">
        <x:f aca="0">Reference!$B$2</x:f>
        <x:v>WK</x:v>
      </x:c>
      <x:c r="D168" s="10"/>
      <x:c r="E168" s="11" t="s">
        <x:v>18</x:v>
      </x:c>
      <x:c r="F168" s="11" t="n">
        <x:v>2</x:v>
      </x:c>
      <x:c r="G168" s="12" t="s">
        <x:v>47</x:v>
      </x:c>
      <x:c r="H168" s="11" t="s">
        <x:v>48</x:v>
      </x:c>
      <x:c r="I168" s="10"/>
      <x:c r="J168" s="10"/>
      <x:c r="K168" s="10"/>
      <x:c r="L168" s="10"/>
      <x:c r="M168" s="1" t="str">
        <x:f aca="0">C168&amp;"|"&amp;E168&amp;"|"&amp;F168&amp;"|"&amp;G168</x:f>
        <x:v>WK|V06|2|工作经历条数</x:v>
      </x:c>
    </x:row>
    <x:row r="169" ht="16.5" hidden="0" customHeight="1">
      <x:c r="A169" s="11" t="str">
        <x:f aca="0">C169&amp;"-"&amp;E169&amp;"-R"&amp;F169</x:f>
        <x:v>WK-V06-R2</x:v>
      </x:c>
      <x:c r="B169" s="10"/>
      <x:c r="C169" s="11" t="str">
        <x:f aca="0">Reference!$B$2</x:f>
        <x:v>WK</x:v>
      </x:c>
      <x:c r="D169" s="10"/>
      <x:c r="E169" s="11" t="s">
        <x:v>18</x:v>
      </x:c>
      <x:c r="F169" s="11" t="n">
        <x:v>2</x:v>
      </x:c>
      <x:c r="G169" s="12" t="s">
        <x:v>49</x:v>
      </x:c>
      <x:c r="H169" s="11" t="s">
        <x:v>50</x:v>
      </x:c>
      <x:c r="I169" s="10"/>
      <x:c r="J169" s="10"/>
      <x:c r="K169" s="10"/>
      <x:c r="L169" s="10"/>
      <x:c r="M169" s="1" t="str">
        <x:f aca="0">C169&amp;"|"&amp;E169&amp;"|"&amp;F169&amp;"|"&amp;G169</x:f>
        <x:v>WK|V06|2|起止日期</x:v>
      </x:c>
    </x:row>
    <x:row r="170" ht="16.5" hidden="0" customHeight="1">
      <x:c r="A170" s="11" t="str">
        <x:f aca="0">C170&amp;"-"&amp;E170&amp;"-R"&amp;F170</x:f>
        <x:v>WK-V06-R2</x:v>
      </x:c>
      <x:c r="B170" s="10"/>
      <x:c r="C170" s="11" t="str">
        <x:f aca="0">Reference!$B$2</x:f>
        <x:v>WK</x:v>
      </x:c>
      <x:c r="D170" s="10"/>
      <x:c r="E170" s="11" t="s">
        <x:v>18</x:v>
      </x:c>
      <x:c r="F170" s="11" t="n">
        <x:v>2</x:v>
      </x:c>
      <x:c r="G170" s="12" t="s">
        <x:v>51</x:v>
      </x:c>
      <x:c r="H170" s="11" t="s">
        <x:v>52</x:v>
      </x:c>
      <x:c r="I170" s="10"/>
      <x:c r="J170" s="10"/>
      <x:c r="K170" s="10"/>
      <x:c r="L170" s="10"/>
      <x:c r="M170" s="1" t="str">
        <x:f aca="0">C170&amp;"|"&amp;E170&amp;"|"&amp;F170&amp;"|"&amp;G170</x:f>
        <x:v>WK|V06|2|教育背景</x:v>
      </x:c>
    </x:row>
    <x:row r="171" ht="16.5" hidden="0" customHeight="1">
      <x:c r="A171" s="11" t="str">
        <x:f aca="0">C171&amp;"-"&amp;E171&amp;"-R"&amp;F171</x:f>
        <x:v>WK-V06-R2</x:v>
      </x:c>
      <x:c r="B171" s="10"/>
      <x:c r="C171" s="11" t="str">
        <x:f aca="0">Reference!$B$2</x:f>
        <x:v>WK</x:v>
      </x:c>
      <x:c r="D171" s="10"/>
      <x:c r="E171" s="11" t="s">
        <x:v>18</x:v>
      </x:c>
      <x:c r="F171" s="11" t="n">
        <x:v>2</x:v>
      </x:c>
      <x:c r="G171" s="12" t="s">
        <x:v>53</x:v>
      </x:c>
      <x:c r="H171" s="11" t="s">
        <x:v>54</x:v>
      </x:c>
      <x:c r="I171" s="10"/>
      <x:c r="J171" s="10"/>
      <x:c r="K171" s="10"/>
      <x:c r="L171" s="10"/>
      <x:c r="M171" s="1" t="str">
        <x:f aca="0">C171&amp;"|"&amp;E171&amp;"|"&amp;F171&amp;"|"&amp;G171</x:f>
        <x:v>WK|V06|2|技能识别数量</x:v>
      </x:c>
    </x:row>
    <x:row r="172" ht="16.5" hidden="0" customHeight="1">
      <x:c r="A172" s="11" t="str">
        <x:f aca="0">C172&amp;"-"&amp;E172&amp;"-R"&amp;F172</x:f>
        <x:v>WK-V06-R3</x:v>
      </x:c>
      <x:c r="B172" s="10"/>
      <x:c r="C172" s="11" t="str">
        <x:f aca="0">Reference!$B$2</x:f>
        <x:v>WK</x:v>
      </x:c>
      <x:c r="D172" s="10"/>
      <x:c r="E172" s="11" t="s">
        <x:v>18</x:v>
      </x:c>
      <x:c r="F172" s="11" t="n">
        <x:v>3</x:v>
      </x:c>
      <x:c r="G172" s="12" t="s">
        <x:v>35</x:v>
      </x:c>
      <x:c r="H172" s="11" t="s">
        <x:v>36</x:v>
      </x:c>
      <x:c r="I172" s="10"/>
      <x:c r="J172" s="10"/>
      <x:c r="K172" s="10"/>
      <x:c r="L172" s="10"/>
      <x:c r="M172" s="1" t="str">
        <x:f aca="0">C172&amp;"|"&amp;E172&amp;"|"&amp;F172&amp;"|"&amp;G172</x:f>
        <x:v>WK|V06|3|姓名</x:v>
      </x:c>
    </x:row>
    <x:row r="173" ht="16.5" hidden="0" customHeight="1">
      <x:c r="A173" s="11" t="str">
        <x:f aca="0">C173&amp;"-"&amp;E173&amp;"-R"&amp;F173</x:f>
        <x:v>WK-V06-R3</x:v>
      </x:c>
      <x:c r="B173" s="10"/>
      <x:c r="C173" s="11" t="str">
        <x:f aca="0">Reference!$B$2</x:f>
        <x:v>WK</x:v>
      </x:c>
      <x:c r="D173" s="10"/>
      <x:c r="E173" s="11" t="s">
        <x:v>18</x:v>
      </x:c>
      <x:c r="F173" s="11" t="n">
        <x:v>3</x:v>
      </x:c>
      <x:c r="G173" s="12" t="s">
        <x:v>37</x:v>
      </x:c>
      <x:c r="H173" s="11" t="s">
        <x:v>38</x:v>
      </x:c>
      <x:c r="I173" s="10"/>
      <x:c r="J173" s="10"/>
      <x:c r="K173" s="10"/>
      <x:c r="L173" s="10"/>
      <x:c r="M173" s="1" t="str">
        <x:f aca="0">C173&amp;"|"&amp;E173&amp;"|"&amp;F173&amp;"|"&amp;G173</x:f>
        <x:v>WK|V06|3|邮箱</x:v>
      </x:c>
    </x:row>
    <x:row r="174" ht="16.5" hidden="0" customHeight="1">
      <x:c r="A174" s="11" t="str">
        <x:f aca="0">C174&amp;"-"&amp;E174&amp;"-R"&amp;F174</x:f>
        <x:v>WK-V06-R3</x:v>
      </x:c>
      <x:c r="B174" s="10"/>
      <x:c r="C174" s="11" t="str">
        <x:f aca="0">Reference!$B$2</x:f>
        <x:v>WK</x:v>
      </x:c>
      <x:c r="D174" s="10"/>
      <x:c r="E174" s="11" t="s">
        <x:v>18</x:v>
      </x:c>
      <x:c r="F174" s="11" t="n">
        <x:v>3</x:v>
      </x:c>
      <x:c r="G174" s="12" t="s">
        <x:v>39</x:v>
      </x:c>
      <x:c r="H174" s="11" t="s">
        <x:v>40</x:v>
      </x:c>
      <x:c r="I174" s="10"/>
      <x:c r="J174" s="10"/>
      <x:c r="K174" s="10"/>
      <x:c r="L174" s="10"/>
      <x:c r="M174" s="1" t="str">
        <x:f aca="0">C174&amp;"|"&amp;E174&amp;"|"&amp;F174&amp;"|"&amp;G174</x:f>
        <x:v>WK|V06|3|电话</x:v>
      </x:c>
    </x:row>
    <x:row r="175" ht="16.5" hidden="0" customHeight="1">
      <x:c r="A175" s="11" t="str">
        <x:f aca="0">C175&amp;"-"&amp;E175&amp;"-R"&amp;F175</x:f>
        <x:v>WK-V06-R3</x:v>
      </x:c>
      <x:c r="B175" s="10"/>
      <x:c r="C175" s="11" t="str">
        <x:f aca="0">Reference!$B$2</x:f>
        <x:v>WK</x:v>
      </x:c>
      <x:c r="D175" s="10"/>
      <x:c r="E175" s="11" t="s">
        <x:v>18</x:v>
      </x:c>
      <x:c r="F175" s="11" t="n">
        <x:v>3</x:v>
      </x:c>
      <x:c r="G175" s="12" t="s">
        <x:v>41</x:v>
      </x:c>
      <x:c r="H175" s="11" t="s">
        <x:v>42</x:v>
      </x:c>
      <x:c r="I175" s="10"/>
      <x:c r="J175" s="10"/>
      <x:c r="K175" s="10"/>
      <x:c r="L175" s="10"/>
      <x:c r="M175" s="1" t="str">
        <x:f aca="0">C175&amp;"|"&amp;E175&amp;"|"&amp;F175&amp;"|"&amp;G175</x:f>
        <x:v>WK|V06|3|城市</x:v>
      </x:c>
    </x:row>
    <x:row r="176" ht="16.5" hidden="0" customHeight="1">
      <x:c r="A176" s="11" t="str">
        <x:f aca="0">C176&amp;"-"&amp;E176&amp;"-R"&amp;F176</x:f>
        <x:v>WK-V06-R3</x:v>
      </x:c>
      <x:c r="B176" s="10"/>
      <x:c r="C176" s="11" t="str">
        <x:f aca="0">Reference!$B$2</x:f>
        <x:v>WK</x:v>
      </x:c>
      <x:c r="D176" s="10"/>
      <x:c r="E176" s="11" t="s">
        <x:v>18</x:v>
      </x:c>
      <x:c r="F176" s="11" t="n">
        <x:v>3</x:v>
      </x:c>
      <x:c r="G176" s="12" t="s">
        <x:v>43</x:v>
      </x:c>
      <x:c r="H176" s="11" t="s">
        <x:v>44</x:v>
      </x:c>
      <x:c r="I176" s="10"/>
      <x:c r="J176" s="10"/>
      <x:c r="K176" s="10"/>
      <x:c r="L176" s="10"/>
      <x:c r="M176" s="1" t="str">
        <x:f aca="0">C176&amp;"|"&amp;E176&amp;"|"&amp;F176&amp;"|"&amp;G176</x:f>
        <x:v>WK|V06|3|最近公司</x:v>
      </x:c>
    </x:row>
    <x:row r="177" ht="16.5" hidden="0" customHeight="1">
      <x:c r="A177" s="11" t="str">
        <x:f aca="0">C177&amp;"-"&amp;E177&amp;"-R"&amp;F177</x:f>
        <x:v>WK-V06-R3</x:v>
      </x:c>
      <x:c r="B177" s="10"/>
      <x:c r="C177" s="11" t="str">
        <x:f aca="0">Reference!$B$2</x:f>
        <x:v>WK</x:v>
      </x:c>
      <x:c r="D177" s="10"/>
      <x:c r="E177" s="11" t="s">
        <x:v>18</x:v>
      </x:c>
      <x:c r="F177" s="11" t="n">
        <x:v>3</x:v>
      </x:c>
      <x:c r="G177" s="12" t="s">
        <x:v>45</x:v>
      </x:c>
      <x:c r="H177" s="11" t="s">
        <x:v>46</x:v>
      </x:c>
      <x:c r="I177" s="10"/>
      <x:c r="J177" s="10"/>
      <x:c r="K177" s="10"/>
      <x:c r="L177" s="10"/>
      <x:c r="M177" s="1" t="str">
        <x:f aca="0">C177&amp;"|"&amp;E177&amp;"|"&amp;F177&amp;"|"&amp;G177</x:f>
        <x:v>WK|V06|3|最近职位头衔</x:v>
      </x:c>
    </x:row>
    <x:row r="178" ht="16.5" hidden="0" customHeight="1">
      <x:c r="A178" s="11" t="str">
        <x:f aca="0">C178&amp;"-"&amp;E178&amp;"-R"&amp;F178</x:f>
        <x:v>WK-V06-R3</x:v>
      </x:c>
      <x:c r="B178" s="10"/>
      <x:c r="C178" s="11" t="str">
        <x:f aca="0">Reference!$B$2</x:f>
        <x:v>WK</x:v>
      </x:c>
      <x:c r="D178" s="10"/>
      <x:c r="E178" s="11" t="s">
        <x:v>18</x:v>
      </x:c>
      <x:c r="F178" s="11" t="n">
        <x:v>3</x:v>
      </x:c>
      <x:c r="G178" s="12" t="s">
        <x:v>47</x:v>
      </x:c>
      <x:c r="H178" s="11" t="s">
        <x:v>48</x:v>
      </x:c>
      <x:c r="I178" s="10"/>
      <x:c r="J178" s="10"/>
      <x:c r="K178" s="10"/>
      <x:c r="L178" s="10"/>
      <x:c r="M178" s="1" t="str">
        <x:f aca="0">C178&amp;"|"&amp;E178&amp;"|"&amp;F178&amp;"|"&amp;G178</x:f>
        <x:v>WK|V06|3|工作经历条数</x:v>
      </x:c>
    </x:row>
    <x:row r="179" ht="16.5" hidden="0" customHeight="1">
      <x:c r="A179" s="11" t="str">
        <x:f aca="0">C179&amp;"-"&amp;E179&amp;"-R"&amp;F179</x:f>
        <x:v>WK-V06-R3</x:v>
      </x:c>
      <x:c r="B179" s="10"/>
      <x:c r="C179" s="11" t="str">
        <x:f aca="0">Reference!$B$2</x:f>
        <x:v>WK</x:v>
      </x:c>
      <x:c r="D179" s="10"/>
      <x:c r="E179" s="11" t="s">
        <x:v>18</x:v>
      </x:c>
      <x:c r="F179" s="11" t="n">
        <x:v>3</x:v>
      </x:c>
      <x:c r="G179" s="12" t="s">
        <x:v>49</x:v>
      </x:c>
      <x:c r="H179" s="11" t="s">
        <x:v>50</x:v>
      </x:c>
      <x:c r="I179" s="10"/>
      <x:c r="J179" s="10"/>
      <x:c r="K179" s="10"/>
      <x:c r="L179" s="10"/>
      <x:c r="M179" s="1" t="str">
        <x:f aca="0">C179&amp;"|"&amp;E179&amp;"|"&amp;F179&amp;"|"&amp;G179</x:f>
        <x:v>WK|V06|3|起止日期</x:v>
      </x:c>
    </x:row>
    <x:row r="180" ht="16.5" hidden="0" customHeight="1">
      <x:c r="A180" s="11" t="str">
        <x:f aca="0">C180&amp;"-"&amp;E180&amp;"-R"&amp;F180</x:f>
        <x:v>WK-V06-R3</x:v>
      </x:c>
      <x:c r="B180" s="10"/>
      <x:c r="C180" s="11" t="str">
        <x:f aca="0">Reference!$B$2</x:f>
        <x:v>WK</x:v>
      </x:c>
      <x:c r="D180" s="10"/>
      <x:c r="E180" s="11" t="s">
        <x:v>18</x:v>
      </x:c>
      <x:c r="F180" s="11" t="n">
        <x:v>3</x:v>
      </x:c>
      <x:c r="G180" s="12" t="s">
        <x:v>51</x:v>
      </x:c>
      <x:c r="H180" s="11" t="s">
        <x:v>52</x:v>
      </x:c>
      <x:c r="I180" s="10"/>
      <x:c r="J180" s="10"/>
      <x:c r="K180" s="10"/>
      <x:c r="L180" s="10"/>
      <x:c r="M180" s="1" t="str">
        <x:f aca="0">C180&amp;"|"&amp;E180&amp;"|"&amp;F180&amp;"|"&amp;G180</x:f>
        <x:v>WK|V06|3|教育背景</x:v>
      </x:c>
    </x:row>
    <x:row r="181" ht="16.5" hidden="0" customHeight="1">
      <x:c r="A181" s="11" t="str">
        <x:f aca="0">C181&amp;"-"&amp;E181&amp;"-R"&amp;F181</x:f>
        <x:v>WK-V06-R3</x:v>
      </x:c>
      <x:c r="B181" s="10"/>
      <x:c r="C181" s="11" t="str">
        <x:f aca="0">Reference!$B$2</x:f>
        <x:v>WK</x:v>
      </x:c>
      <x:c r="D181" s="10"/>
      <x:c r="E181" s="11" t="s">
        <x:v>18</x:v>
      </x:c>
      <x:c r="F181" s="11" t="n">
        <x:v>3</x:v>
      </x:c>
      <x:c r="G181" s="12" t="s">
        <x:v>53</x:v>
      </x:c>
      <x:c r="H181" s="11" t="s">
        <x:v>54</x:v>
      </x:c>
      <x:c r="I181" s="10"/>
      <x:c r="J181" s="10"/>
      <x:c r="K181" s="10"/>
      <x:c r="L181" s="10"/>
      <x:c r="M181" s="1" t="str">
        <x:f aca="0">C181&amp;"|"&amp;E181&amp;"|"&amp;F181&amp;"|"&amp;G181</x:f>
        <x:v>WK|V06|3|技能识别数量</x:v>
      </x:c>
    </x:row>
    <x:row r="182" ht="16.5" hidden="0" customHeight="1">
      <x:c r="A182" s="4" t="str">
        <x:f aca="0">C182&amp;"-"&amp;E182&amp;"-R"&amp;F182</x:f>
        <x:v>RC-V01-R1</x:v>
      </x:c>
      <x:c r="B182" s="10"/>
      <x:c r="C182" s="4" t="str">
        <x:f aca="0">Reference!$B$3</x:f>
        <x:v>RC</x:v>
      </x:c>
      <x:c r="D182" s="10"/>
      <x:c r="E182" s="4" t="s">
        <x:v>8</x:v>
      </x:c>
      <x:c r="F182" s="4" t="n">
        <x:v>1</x:v>
      </x:c>
      <x:c r="G182" s="5" t="s">
        <x:v>35</x:v>
      </x:c>
      <x:c r="H182" s="4" t="s">
        <x:v>36</x:v>
      </x:c>
      <x:c r="I182" s="10"/>
      <x:c r="J182" s="10"/>
      <x:c r="K182" s="10"/>
      <x:c r="L182" s="10"/>
      <x:c r="M182" s="1" t="str">
        <x:f aca="0">C182&amp;"|"&amp;E182&amp;"|"&amp;F182&amp;"|"&amp;G182</x:f>
        <x:v>RC|V01|1|姓名</x:v>
      </x:c>
    </x:row>
    <x:row r="183" ht="16.5" hidden="0" customHeight="1">
      <x:c r="A183" s="4" t="str">
        <x:f aca="0">C183&amp;"-"&amp;E183&amp;"-R"&amp;F183</x:f>
        <x:v>RC-V01-R1</x:v>
      </x:c>
      <x:c r="B183" s="10"/>
      <x:c r="C183" s="4" t="str">
        <x:f aca="0">Reference!$B$3</x:f>
        <x:v>RC</x:v>
      </x:c>
      <x:c r="D183" s="10"/>
      <x:c r="E183" s="4" t="s">
        <x:v>8</x:v>
      </x:c>
      <x:c r="F183" s="4" t="n">
        <x:v>1</x:v>
      </x:c>
      <x:c r="G183" s="5" t="s">
        <x:v>37</x:v>
      </x:c>
      <x:c r="H183" s="4" t="s">
        <x:v>38</x:v>
      </x:c>
      <x:c r="I183" s="10"/>
      <x:c r="J183" s="10"/>
      <x:c r="K183" s="10"/>
      <x:c r="L183" s="10"/>
      <x:c r="M183" s="1" t="str">
        <x:f aca="0">C183&amp;"|"&amp;E183&amp;"|"&amp;F183&amp;"|"&amp;G183</x:f>
        <x:v>RC|V01|1|邮箱</x:v>
      </x:c>
    </x:row>
    <x:row r="184" ht="16.5" hidden="0" customHeight="1">
      <x:c r="A184" s="4" t="str">
        <x:f aca="0">C184&amp;"-"&amp;E184&amp;"-R"&amp;F184</x:f>
        <x:v>RC-V01-R1</x:v>
      </x:c>
      <x:c r="B184" s="10"/>
      <x:c r="C184" s="4" t="str">
        <x:f aca="0">Reference!$B$3</x:f>
        <x:v>RC</x:v>
      </x:c>
      <x:c r="D184" s="10"/>
      <x:c r="E184" s="4" t="s">
        <x:v>8</x:v>
      </x:c>
      <x:c r="F184" s="4" t="n">
        <x:v>1</x:v>
      </x:c>
      <x:c r="G184" s="5" t="s">
        <x:v>39</x:v>
      </x:c>
      <x:c r="H184" s="4" t="s">
        <x:v>40</x:v>
      </x:c>
      <x:c r="I184" s="10"/>
      <x:c r="J184" s="10"/>
      <x:c r="K184" s="10"/>
      <x:c r="L184" s="10"/>
      <x:c r="M184" s="1" t="str">
        <x:f aca="0">C184&amp;"|"&amp;E184&amp;"|"&amp;F184&amp;"|"&amp;G184</x:f>
        <x:v>RC|V01|1|电话</x:v>
      </x:c>
    </x:row>
    <x:row r="185" ht="16.5" hidden="0" customHeight="1">
      <x:c r="A185" s="4" t="str">
        <x:f aca="0">C185&amp;"-"&amp;E185&amp;"-R"&amp;F185</x:f>
        <x:v>RC-V01-R1</x:v>
      </x:c>
      <x:c r="B185" s="10"/>
      <x:c r="C185" s="4" t="str">
        <x:f aca="0">Reference!$B$3</x:f>
        <x:v>RC</x:v>
      </x:c>
      <x:c r="D185" s="10"/>
      <x:c r="E185" s="4" t="s">
        <x:v>8</x:v>
      </x:c>
      <x:c r="F185" s="4" t="n">
        <x:v>1</x:v>
      </x:c>
      <x:c r="G185" s="5" t="s">
        <x:v>41</x:v>
      </x:c>
      <x:c r="H185" s="4" t="s">
        <x:v>42</x:v>
      </x:c>
      <x:c r="I185" s="10"/>
      <x:c r="J185" s="10"/>
      <x:c r="K185" s="10"/>
      <x:c r="L185" s="10"/>
      <x:c r="M185" s="1" t="str">
        <x:f aca="0">C185&amp;"|"&amp;E185&amp;"|"&amp;F185&amp;"|"&amp;G185</x:f>
        <x:v>RC|V01|1|城市</x:v>
      </x:c>
    </x:row>
    <x:row r="186" ht="16.5" hidden="0" customHeight="1">
      <x:c r="A186" s="4" t="str">
        <x:f aca="0">C186&amp;"-"&amp;E186&amp;"-R"&amp;F186</x:f>
        <x:v>RC-V01-R1</x:v>
      </x:c>
      <x:c r="B186" s="10"/>
      <x:c r="C186" s="4" t="str">
        <x:f aca="0">Reference!$B$3</x:f>
        <x:v>RC</x:v>
      </x:c>
      <x:c r="D186" s="10"/>
      <x:c r="E186" s="4" t="s">
        <x:v>8</x:v>
      </x:c>
      <x:c r="F186" s="4" t="n">
        <x:v>1</x:v>
      </x:c>
      <x:c r="G186" s="5" t="s">
        <x:v>43</x:v>
      </x:c>
      <x:c r="H186" s="4" t="s">
        <x:v>44</x:v>
      </x:c>
      <x:c r="I186" s="10"/>
      <x:c r="J186" s="10"/>
      <x:c r="K186" s="10"/>
      <x:c r="L186" s="10"/>
      <x:c r="M186" s="1" t="str">
        <x:f aca="0">C186&amp;"|"&amp;E186&amp;"|"&amp;F186&amp;"|"&amp;G186</x:f>
        <x:v>RC|V01|1|最近公司</x:v>
      </x:c>
    </x:row>
    <x:row r="187" ht="16.5" hidden="0" customHeight="1">
      <x:c r="A187" s="4" t="str">
        <x:f aca="0">C187&amp;"-"&amp;E187&amp;"-R"&amp;F187</x:f>
        <x:v>RC-V01-R1</x:v>
      </x:c>
      <x:c r="B187" s="10"/>
      <x:c r="C187" s="4" t="str">
        <x:f aca="0">Reference!$B$3</x:f>
        <x:v>RC</x:v>
      </x:c>
      <x:c r="D187" s="10"/>
      <x:c r="E187" s="4" t="s">
        <x:v>8</x:v>
      </x:c>
      <x:c r="F187" s="4" t="n">
        <x:v>1</x:v>
      </x:c>
      <x:c r="G187" s="5" t="s">
        <x:v>45</x:v>
      </x:c>
      <x:c r="H187" s="4" t="s">
        <x:v>46</x:v>
      </x:c>
      <x:c r="I187" s="10"/>
      <x:c r="J187" s="10"/>
      <x:c r="K187" s="10"/>
      <x:c r="L187" s="10"/>
      <x:c r="M187" s="1" t="str">
        <x:f aca="0">C187&amp;"|"&amp;E187&amp;"|"&amp;F187&amp;"|"&amp;G187</x:f>
        <x:v>RC|V01|1|最近职位头衔</x:v>
      </x:c>
    </x:row>
    <x:row r="188" ht="16.5" hidden="0" customHeight="1">
      <x:c r="A188" s="4" t="str">
        <x:f aca="0">C188&amp;"-"&amp;E188&amp;"-R"&amp;F188</x:f>
        <x:v>RC-V01-R1</x:v>
      </x:c>
      <x:c r="B188" s="10"/>
      <x:c r="C188" s="4" t="str">
        <x:f aca="0">Reference!$B$3</x:f>
        <x:v>RC</x:v>
      </x:c>
      <x:c r="D188" s="10"/>
      <x:c r="E188" s="4" t="s">
        <x:v>8</x:v>
      </x:c>
      <x:c r="F188" s="4" t="n">
        <x:v>1</x:v>
      </x:c>
      <x:c r="G188" s="5" t="s">
        <x:v>47</x:v>
      </x:c>
      <x:c r="H188" s="4" t="s">
        <x:v>48</x:v>
      </x:c>
      <x:c r="I188" s="10"/>
      <x:c r="J188" s="10"/>
      <x:c r="K188" s="10"/>
      <x:c r="L188" s="10"/>
      <x:c r="M188" s="1" t="str">
        <x:f aca="0">C188&amp;"|"&amp;E188&amp;"|"&amp;F188&amp;"|"&amp;G188</x:f>
        <x:v>RC|V01|1|工作经历条数</x:v>
      </x:c>
    </x:row>
    <x:row r="189" ht="16.5" hidden="0" customHeight="1">
      <x:c r="A189" s="4" t="str">
        <x:f aca="0">C189&amp;"-"&amp;E189&amp;"-R"&amp;F189</x:f>
        <x:v>RC-V01-R1</x:v>
      </x:c>
      <x:c r="B189" s="10"/>
      <x:c r="C189" s="4" t="str">
        <x:f aca="0">Reference!$B$3</x:f>
        <x:v>RC</x:v>
      </x:c>
      <x:c r="D189" s="10"/>
      <x:c r="E189" s="4" t="s">
        <x:v>8</x:v>
      </x:c>
      <x:c r="F189" s="4" t="n">
        <x:v>1</x:v>
      </x:c>
      <x:c r="G189" s="5" t="s">
        <x:v>49</x:v>
      </x:c>
      <x:c r="H189" s="4" t="s">
        <x:v>50</x:v>
      </x:c>
      <x:c r="I189" s="10"/>
      <x:c r="J189" s="10"/>
      <x:c r="K189" s="10"/>
      <x:c r="L189" s="10"/>
      <x:c r="M189" s="1" t="str">
        <x:f aca="0">C189&amp;"|"&amp;E189&amp;"|"&amp;F189&amp;"|"&amp;G189</x:f>
        <x:v>RC|V01|1|起止日期</x:v>
      </x:c>
    </x:row>
    <x:row r="190" ht="16.5" hidden="0" customHeight="1">
      <x:c r="A190" s="4" t="str">
        <x:f aca="0">C190&amp;"-"&amp;E190&amp;"-R"&amp;F190</x:f>
        <x:v>RC-V01-R1</x:v>
      </x:c>
      <x:c r="B190" s="10"/>
      <x:c r="C190" s="4" t="str">
        <x:f aca="0">Reference!$B$3</x:f>
        <x:v>RC</x:v>
      </x:c>
      <x:c r="D190" s="10"/>
      <x:c r="E190" s="4" t="s">
        <x:v>8</x:v>
      </x:c>
      <x:c r="F190" s="4" t="n">
        <x:v>1</x:v>
      </x:c>
      <x:c r="G190" s="5" t="s">
        <x:v>51</x:v>
      </x:c>
      <x:c r="H190" s="4" t="s">
        <x:v>52</x:v>
      </x:c>
      <x:c r="I190" s="10"/>
      <x:c r="J190" s="10"/>
      <x:c r="K190" s="10"/>
      <x:c r="L190" s="10"/>
      <x:c r="M190" s="1" t="str">
        <x:f aca="0">C190&amp;"|"&amp;E190&amp;"|"&amp;F190&amp;"|"&amp;G190</x:f>
        <x:v>RC|V01|1|教育背景</x:v>
      </x:c>
    </x:row>
    <x:row r="191" ht="16.5" hidden="0" customHeight="1">
      <x:c r="A191" s="4" t="str">
        <x:f aca="0">C191&amp;"-"&amp;E191&amp;"-R"&amp;F191</x:f>
        <x:v>RC-V01-R1</x:v>
      </x:c>
      <x:c r="B191" s="10"/>
      <x:c r="C191" s="4" t="str">
        <x:f aca="0">Reference!$B$3</x:f>
        <x:v>RC</x:v>
      </x:c>
      <x:c r="D191" s="10"/>
      <x:c r="E191" s="4" t="s">
        <x:v>8</x:v>
      </x:c>
      <x:c r="F191" s="4" t="n">
        <x:v>1</x:v>
      </x:c>
      <x:c r="G191" s="5" t="s">
        <x:v>53</x:v>
      </x:c>
      <x:c r="H191" s="4" t="s">
        <x:v>54</x:v>
      </x:c>
      <x:c r="I191" s="10"/>
      <x:c r="J191" s="10"/>
      <x:c r="K191" s="10"/>
      <x:c r="L191" s="10"/>
      <x:c r="M191" s="1" t="str">
        <x:f aca="0">C191&amp;"|"&amp;E191&amp;"|"&amp;F191&amp;"|"&amp;G191</x:f>
        <x:v>RC|V01|1|技能识别数量</x:v>
      </x:c>
    </x:row>
    <x:row r="192" ht="16.5" hidden="0" customHeight="1">
      <x:c r="A192" s="4" t="str">
        <x:f aca="0">C192&amp;"-"&amp;E192&amp;"-R"&amp;F192</x:f>
        <x:v>RC-V01-R2</x:v>
      </x:c>
      <x:c r="B192" s="10"/>
      <x:c r="C192" s="4" t="str">
        <x:f aca="0">Reference!$B$3</x:f>
        <x:v>RC</x:v>
      </x:c>
      <x:c r="D192" s="10"/>
      <x:c r="E192" s="4" t="s">
        <x:v>8</x:v>
      </x:c>
      <x:c r="F192" s="4" t="n">
        <x:v>2</x:v>
      </x:c>
      <x:c r="G192" s="5" t="s">
        <x:v>35</x:v>
      </x:c>
      <x:c r="H192" s="4" t="s">
        <x:v>36</x:v>
      </x:c>
      <x:c r="I192" s="10"/>
      <x:c r="J192" s="10"/>
      <x:c r="K192" s="10"/>
      <x:c r="L192" s="10"/>
      <x:c r="M192" s="1" t="str">
        <x:f aca="0">C192&amp;"|"&amp;E192&amp;"|"&amp;F192&amp;"|"&amp;G192</x:f>
        <x:v>RC|V01|2|姓名</x:v>
      </x:c>
    </x:row>
    <x:row r="193" ht="16.5" hidden="0" customHeight="1">
      <x:c r="A193" s="4" t="str">
        <x:f aca="0">C193&amp;"-"&amp;E193&amp;"-R"&amp;F193</x:f>
        <x:v>RC-V01-R2</x:v>
      </x:c>
      <x:c r="B193" s="10"/>
      <x:c r="C193" s="4" t="str">
        <x:f aca="0">Reference!$B$3</x:f>
        <x:v>RC</x:v>
      </x:c>
      <x:c r="D193" s="10"/>
      <x:c r="E193" s="4" t="s">
        <x:v>8</x:v>
      </x:c>
      <x:c r="F193" s="4" t="n">
        <x:v>2</x:v>
      </x:c>
      <x:c r="G193" s="5" t="s">
        <x:v>37</x:v>
      </x:c>
      <x:c r="H193" s="4" t="s">
        <x:v>38</x:v>
      </x:c>
      <x:c r="I193" s="10"/>
      <x:c r="J193" s="10"/>
      <x:c r="K193" s="10"/>
      <x:c r="L193" s="10"/>
      <x:c r="M193" s="1" t="str">
        <x:f aca="0">C193&amp;"|"&amp;E193&amp;"|"&amp;F193&amp;"|"&amp;G193</x:f>
        <x:v>RC|V01|2|邮箱</x:v>
      </x:c>
    </x:row>
    <x:row r="194" ht="16.5" hidden="0" customHeight="1">
      <x:c r="A194" s="4" t="str">
        <x:f aca="0">C194&amp;"-"&amp;E194&amp;"-R"&amp;F194</x:f>
        <x:v>RC-V01-R2</x:v>
      </x:c>
      <x:c r="B194" s="10"/>
      <x:c r="C194" s="4" t="str">
        <x:f aca="0">Reference!$B$3</x:f>
        <x:v>RC</x:v>
      </x:c>
      <x:c r="D194" s="10"/>
      <x:c r="E194" s="4" t="s">
        <x:v>8</x:v>
      </x:c>
      <x:c r="F194" s="4" t="n">
        <x:v>2</x:v>
      </x:c>
      <x:c r="G194" s="5" t="s">
        <x:v>39</x:v>
      </x:c>
      <x:c r="H194" s="4" t="s">
        <x:v>40</x:v>
      </x:c>
      <x:c r="I194" s="10"/>
      <x:c r="J194" s="10"/>
      <x:c r="K194" s="10"/>
      <x:c r="L194" s="10"/>
      <x:c r="M194" s="1" t="str">
        <x:f aca="0">C194&amp;"|"&amp;E194&amp;"|"&amp;F194&amp;"|"&amp;G194</x:f>
        <x:v>RC|V01|2|电话</x:v>
      </x:c>
    </x:row>
    <x:row r="195" ht="16.5" hidden="0" customHeight="1">
      <x:c r="A195" s="4" t="str">
        <x:f aca="0">C195&amp;"-"&amp;E195&amp;"-R"&amp;F195</x:f>
        <x:v>RC-V01-R2</x:v>
      </x:c>
      <x:c r="B195" s="10"/>
      <x:c r="C195" s="4" t="str">
        <x:f aca="0">Reference!$B$3</x:f>
        <x:v>RC</x:v>
      </x:c>
      <x:c r="D195" s="10"/>
      <x:c r="E195" s="4" t="s">
        <x:v>8</x:v>
      </x:c>
      <x:c r="F195" s="4" t="n">
        <x:v>2</x:v>
      </x:c>
      <x:c r="G195" s="5" t="s">
        <x:v>41</x:v>
      </x:c>
      <x:c r="H195" s="4" t="s">
        <x:v>42</x:v>
      </x:c>
      <x:c r="I195" s="10"/>
      <x:c r="J195" s="10"/>
      <x:c r="K195" s="10"/>
      <x:c r="L195" s="10"/>
      <x:c r="M195" s="1" t="str">
        <x:f aca="0">C195&amp;"|"&amp;E195&amp;"|"&amp;F195&amp;"|"&amp;G195</x:f>
        <x:v>RC|V01|2|城市</x:v>
      </x:c>
    </x:row>
    <x:row r="196" ht="16.5" hidden="0" customHeight="1">
      <x:c r="A196" s="4" t="str">
        <x:f aca="0">C196&amp;"-"&amp;E196&amp;"-R"&amp;F196</x:f>
        <x:v>RC-V01-R2</x:v>
      </x:c>
      <x:c r="B196" s="10"/>
      <x:c r="C196" s="4" t="str">
        <x:f aca="0">Reference!$B$3</x:f>
        <x:v>RC</x:v>
      </x:c>
      <x:c r="D196" s="10"/>
      <x:c r="E196" s="4" t="s">
        <x:v>8</x:v>
      </x:c>
      <x:c r="F196" s="4" t="n">
        <x:v>2</x:v>
      </x:c>
      <x:c r="G196" s="5" t="s">
        <x:v>43</x:v>
      </x:c>
      <x:c r="H196" s="4" t="s">
        <x:v>44</x:v>
      </x:c>
      <x:c r="I196" s="10"/>
      <x:c r="J196" s="10"/>
      <x:c r="K196" s="10"/>
      <x:c r="L196" s="10"/>
      <x:c r="M196" s="1" t="str">
        <x:f aca="0">C196&amp;"|"&amp;E196&amp;"|"&amp;F196&amp;"|"&amp;G196</x:f>
        <x:v>RC|V01|2|最近公司</x:v>
      </x:c>
    </x:row>
    <x:row r="197" ht="16.5" hidden="0" customHeight="1">
      <x:c r="A197" s="4" t="str">
        <x:f aca="0">C197&amp;"-"&amp;E197&amp;"-R"&amp;F197</x:f>
        <x:v>RC-V01-R2</x:v>
      </x:c>
      <x:c r="B197" s="10"/>
      <x:c r="C197" s="4" t="str">
        <x:f aca="0">Reference!$B$3</x:f>
        <x:v>RC</x:v>
      </x:c>
      <x:c r="D197" s="10"/>
      <x:c r="E197" s="4" t="s">
        <x:v>8</x:v>
      </x:c>
      <x:c r="F197" s="4" t="n">
        <x:v>2</x:v>
      </x:c>
      <x:c r="G197" s="5" t="s">
        <x:v>45</x:v>
      </x:c>
      <x:c r="H197" s="4" t="s">
        <x:v>46</x:v>
      </x:c>
      <x:c r="I197" s="10"/>
      <x:c r="J197" s="10"/>
      <x:c r="K197" s="10"/>
      <x:c r="L197" s="10"/>
      <x:c r="M197" s="1" t="str">
        <x:f aca="0">C197&amp;"|"&amp;E197&amp;"|"&amp;F197&amp;"|"&amp;G197</x:f>
        <x:v>RC|V01|2|最近职位头衔</x:v>
      </x:c>
    </x:row>
    <x:row r="198" ht="16.5" hidden="0" customHeight="1">
      <x:c r="A198" s="4" t="str">
        <x:f aca="0">C198&amp;"-"&amp;E198&amp;"-R"&amp;F198</x:f>
        <x:v>RC-V01-R2</x:v>
      </x:c>
      <x:c r="B198" s="10"/>
      <x:c r="C198" s="4" t="str">
        <x:f aca="0">Reference!$B$3</x:f>
        <x:v>RC</x:v>
      </x:c>
      <x:c r="D198" s="10"/>
      <x:c r="E198" s="4" t="s">
        <x:v>8</x:v>
      </x:c>
      <x:c r="F198" s="4" t="n">
        <x:v>2</x:v>
      </x:c>
      <x:c r="G198" s="5" t="s">
        <x:v>47</x:v>
      </x:c>
      <x:c r="H198" s="4" t="s">
        <x:v>48</x:v>
      </x:c>
      <x:c r="I198" s="10"/>
      <x:c r="J198" s="10"/>
      <x:c r="K198" s="10"/>
      <x:c r="L198" s="10"/>
      <x:c r="M198" s="1" t="str">
        <x:f aca="0">C198&amp;"|"&amp;E198&amp;"|"&amp;F198&amp;"|"&amp;G198</x:f>
        <x:v>RC|V01|2|工作经历条数</x:v>
      </x:c>
    </x:row>
    <x:row r="199" ht="16.5" hidden="0" customHeight="1">
      <x:c r="A199" s="4" t="str">
        <x:f aca="0">C199&amp;"-"&amp;E199&amp;"-R"&amp;F199</x:f>
        <x:v>RC-V01-R2</x:v>
      </x:c>
      <x:c r="B199" s="10"/>
      <x:c r="C199" s="4" t="str">
        <x:f aca="0">Reference!$B$3</x:f>
        <x:v>RC</x:v>
      </x:c>
      <x:c r="D199" s="10"/>
      <x:c r="E199" s="4" t="s">
        <x:v>8</x:v>
      </x:c>
      <x:c r="F199" s="4" t="n">
        <x:v>2</x:v>
      </x:c>
      <x:c r="G199" s="5" t="s">
        <x:v>49</x:v>
      </x:c>
      <x:c r="H199" s="4" t="s">
        <x:v>50</x:v>
      </x:c>
      <x:c r="I199" s="10"/>
      <x:c r="J199" s="10"/>
      <x:c r="K199" s="10"/>
      <x:c r="L199" s="10"/>
      <x:c r="M199" s="1" t="str">
        <x:f aca="0">C199&amp;"|"&amp;E199&amp;"|"&amp;F199&amp;"|"&amp;G199</x:f>
        <x:v>RC|V01|2|起止日期</x:v>
      </x:c>
    </x:row>
    <x:row r="200" ht="16.5" hidden="0" customHeight="1">
      <x:c r="A200" s="4" t="str">
        <x:f aca="0">C200&amp;"-"&amp;E200&amp;"-R"&amp;F200</x:f>
        <x:v>RC-V01-R2</x:v>
      </x:c>
      <x:c r="B200" s="10"/>
      <x:c r="C200" s="4" t="str">
        <x:f aca="0">Reference!$B$3</x:f>
        <x:v>RC</x:v>
      </x:c>
      <x:c r="D200" s="10"/>
      <x:c r="E200" s="4" t="s">
        <x:v>8</x:v>
      </x:c>
      <x:c r="F200" s="4" t="n">
        <x:v>2</x:v>
      </x:c>
      <x:c r="G200" s="5" t="s">
        <x:v>51</x:v>
      </x:c>
      <x:c r="H200" s="4" t="s">
        <x:v>52</x:v>
      </x:c>
      <x:c r="I200" s="10"/>
      <x:c r="J200" s="10"/>
      <x:c r="K200" s="10"/>
      <x:c r="L200" s="10"/>
      <x:c r="M200" s="1" t="str">
        <x:f aca="0">C200&amp;"|"&amp;E200&amp;"|"&amp;F200&amp;"|"&amp;G200</x:f>
        <x:v>RC|V01|2|教育背景</x:v>
      </x:c>
    </x:row>
    <x:row r="201" ht="16.5" hidden="0" customHeight="1">
      <x:c r="A201" s="4" t="str">
        <x:f aca="0">C201&amp;"-"&amp;E201&amp;"-R"&amp;F201</x:f>
        <x:v>RC-V01-R2</x:v>
      </x:c>
      <x:c r="B201" s="10"/>
      <x:c r="C201" s="4" t="str">
        <x:f aca="0">Reference!$B$3</x:f>
        <x:v>RC</x:v>
      </x:c>
      <x:c r="D201" s="10"/>
      <x:c r="E201" s="4" t="s">
        <x:v>8</x:v>
      </x:c>
      <x:c r="F201" s="4" t="n">
        <x:v>2</x:v>
      </x:c>
      <x:c r="G201" s="5" t="s">
        <x:v>53</x:v>
      </x:c>
      <x:c r="H201" s="4" t="s">
        <x:v>54</x:v>
      </x:c>
      <x:c r="I201" s="10"/>
      <x:c r="J201" s="10"/>
      <x:c r="K201" s="10"/>
      <x:c r="L201" s="10"/>
      <x:c r="M201" s="1" t="str">
        <x:f aca="0">C201&amp;"|"&amp;E201&amp;"|"&amp;F201&amp;"|"&amp;G201</x:f>
        <x:v>RC|V01|2|技能识别数量</x:v>
      </x:c>
    </x:row>
    <x:row r="202" ht="16.5" hidden="0" customHeight="1">
      <x:c r="A202" s="4" t="str">
        <x:f aca="0">C202&amp;"-"&amp;E202&amp;"-R"&amp;F202</x:f>
        <x:v>RC-V01-R3</x:v>
      </x:c>
      <x:c r="B202" s="10"/>
      <x:c r="C202" s="4" t="str">
        <x:f aca="0">Reference!$B$3</x:f>
        <x:v>RC</x:v>
      </x:c>
      <x:c r="D202" s="10"/>
      <x:c r="E202" s="4" t="s">
        <x:v>8</x:v>
      </x:c>
      <x:c r="F202" s="4" t="n">
        <x:v>3</x:v>
      </x:c>
      <x:c r="G202" s="5" t="s">
        <x:v>35</x:v>
      </x:c>
      <x:c r="H202" s="4" t="s">
        <x:v>36</x:v>
      </x:c>
      <x:c r="I202" s="10"/>
      <x:c r="J202" s="10"/>
      <x:c r="K202" s="10"/>
      <x:c r="L202" s="10"/>
      <x:c r="M202" s="1" t="str">
        <x:f aca="0">C202&amp;"|"&amp;E202&amp;"|"&amp;F202&amp;"|"&amp;G202</x:f>
        <x:v>RC|V01|3|姓名</x:v>
      </x:c>
    </x:row>
    <x:row r="203" ht="16.5" hidden="0" customHeight="1">
      <x:c r="A203" s="4" t="str">
        <x:f aca="0">C203&amp;"-"&amp;E203&amp;"-R"&amp;F203</x:f>
        <x:v>RC-V01-R3</x:v>
      </x:c>
      <x:c r="B203" s="10"/>
      <x:c r="C203" s="4" t="str">
        <x:f aca="0">Reference!$B$3</x:f>
        <x:v>RC</x:v>
      </x:c>
      <x:c r="D203" s="10"/>
      <x:c r="E203" s="4" t="s">
        <x:v>8</x:v>
      </x:c>
      <x:c r="F203" s="4" t="n">
        <x:v>3</x:v>
      </x:c>
      <x:c r="G203" s="5" t="s">
        <x:v>37</x:v>
      </x:c>
      <x:c r="H203" s="4" t="s">
        <x:v>38</x:v>
      </x:c>
      <x:c r="I203" s="10"/>
      <x:c r="J203" s="10"/>
      <x:c r="K203" s="10"/>
      <x:c r="L203" s="10"/>
      <x:c r="M203" s="1" t="str">
        <x:f aca="0">C203&amp;"|"&amp;E203&amp;"|"&amp;F203&amp;"|"&amp;G203</x:f>
        <x:v>RC|V01|3|邮箱</x:v>
      </x:c>
    </x:row>
    <x:row r="204" ht="16.5" hidden="0" customHeight="1">
      <x:c r="A204" s="4" t="str">
        <x:f aca="0">C204&amp;"-"&amp;E204&amp;"-R"&amp;F204</x:f>
        <x:v>RC-V01-R3</x:v>
      </x:c>
      <x:c r="B204" s="10"/>
      <x:c r="C204" s="4" t="str">
        <x:f aca="0">Reference!$B$3</x:f>
        <x:v>RC</x:v>
      </x:c>
      <x:c r="D204" s="10"/>
      <x:c r="E204" s="4" t="s">
        <x:v>8</x:v>
      </x:c>
      <x:c r="F204" s="4" t="n">
        <x:v>3</x:v>
      </x:c>
      <x:c r="G204" s="5" t="s">
        <x:v>39</x:v>
      </x:c>
      <x:c r="H204" s="4" t="s">
        <x:v>40</x:v>
      </x:c>
      <x:c r="I204" s="10"/>
      <x:c r="J204" s="10"/>
      <x:c r="K204" s="10"/>
      <x:c r="L204" s="10"/>
      <x:c r="M204" s="1" t="str">
        <x:f aca="0">C204&amp;"|"&amp;E204&amp;"|"&amp;F204&amp;"|"&amp;G204</x:f>
        <x:v>RC|V01|3|电话</x:v>
      </x:c>
    </x:row>
    <x:row r="205" ht="16.5" hidden="0" customHeight="1">
      <x:c r="A205" s="4" t="str">
        <x:f aca="0">C205&amp;"-"&amp;E205&amp;"-R"&amp;F205</x:f>
        <x:v>RC-V01-R3</x:v>
      </x:c>
      <x:c r="B205" s="10"/>
      <x:c r="C205" s="4" t="str">
        <x:f aca="0">Reference!$B$3</x:f>
        <x:v>RC</x:v>
      </x:c>
      <x:c r="D205" s="10"/>
      <x:c r="E205" s="4" t="s">
        <x:v>8</x:v>
      </x:c>
      <x:c r="F205" s="4" t="n">
        <x:v>3</x:v>
      </x:c>
      <x:c r="G205" s="5" t="s">
        <x:v>41</x:v>
      </x:c>
      <x:c r="H205" s="4" t="s">
        <x:v>42</x:v>
      </x:c>
      <x:c r="I205" s="10"/>
      <x:c r="J205" s="10"/>
      <x:c r="K205" s="10"/>
      <x:c r="L205" s="10"/>
      <x:c r="M205" s="1" t="str">
        <x:f aca="0">C205&amp;"|"&amp;E205&amp;"|"&amp;F205&amp;"|"&amp;G205</x:f>
        <x:v>RC|V01|3|城市</x:v>
      </x:c>
    </x:row>
    <x:row r="206" ht="16.5" hidden="0" customHeight="1">
      <x:c r="A206" s="4" t="str">
        <x:f aca="0">C206&amp;"-"&amp;E206&amp;"-R"&amp;F206</x:f>
        <x:v>RC-V01-R3</x:v>
      </x:c>
      <x:c r="B206" s="10"/>
      <x:c r="C206" s="4" t="str">
        <x:f aca="0">Reference!$B$3</x:f>
        <x:v>RC</x:v>
      </x:c>
      <x:c r="D206" s="10"/>
      <x:c r="E206" s="4" t="s">
        <x:v>8</x:v>
      </x:c>
      <x:c r="F206" s="4" t="n">
        <x:v>3</x:v>
      </x:c>
      <x:c r="G206" s="5" t="s">
        <x:v>43</x:v>
      </x:c>
      <x:c r="H206" s="4" t="s">
        <x:v>44</x:v>
      </x:c>
      <x:c r="I206" s="10"/>
      <x:c r="J206" s="10"/>
      <x:c r="K206" s="10"/>
      <x:c r="L206" s="10"/>
      <x:c r="M206" s="1" t="str">
        <x:f aca="0">C206&amp;"|"&amp;E206&amp;"|"&amp;F206&amp;"|"&amp;G206</x:f>
        <x:v>RC|V01|3|最近公司</x:v>
      </x:c>
    </x:row>
    <x:row r="207" ht="16.5" hidden="0" customHeight="1">
      <x:c r="A207" s="4" t="str">
        <x:f aca="0">C207&amp;"-"&amp;E207&amp;"-R"&amp;F207</x:f>
        <x:v>RC-V01-R3</x:v>
      </x:c>
      <x:c r="B207" s="10"/>
      <x:c r="C207" s="4" t="str">
        <x:f aca="0">Reference!$B$3</x:f>
        <x:v>RC</x:v>
      </x:c>
      <x:c r="D207" s="10"/>
      <x:c r="E207" s="4" t="s">
        <x:v>8</x:v>
      </x:c>
      <x:c r="F207" s="4" t="n">
        <x:v>3</x:v>
      </x:c>
      <x:c r="G207" s="5" t="s">
        <x:v>45</x:v>
      </x:c>
      <x:c r="H207" s="4" t="s">
        <x:v>46</x:v>
      </x:c>
      <x:c r="I207" s="10"/>
      <x:c r="J207" s="10"/>
      <x:c r="K207" s="10"/>
      <x:c r="L207" s="10"/>
      <x:c r="M207" s="1" t="str">
        <x:f aca="0">C207&amp;"|"&amp;E207&amp;"|"&amp;F207&amp;"|"&amp;G207</x:f>
        <x:v>RC|V01|3|最近职位头衔</x:v>
      </x:c>
    </x:row>
    <x:row r="208" ht="16.5" hidden="0" customHeight="1">
      <x:c r="A208" s="4" t="str">
        <x:f aca="0">C208&amp;"-"&amp;E208&amp;"-R"&amp;F208</x:f>
        <x:v>RC-V01-R3</x:v>
      </x:c>
      <x:c r="B208" s="10"/>
      <x:c r="C208" s="4" t="str">
        <x:f aca="0">Reference!$B$3</x:f>
        <x:v>RC</x:v>
      </x:c>
      <x:c r="D208" s="10"/>
      <x:c r="E208" s="4" t="s">
        <x:v>8</x:v>
      </x:c>
      <x:c r="F208" s="4" t="n">
        <x:v>3</x:v>
      </x:c>
      <x:c r="G208" s="5" t="s">
        <x:v>47</x:v>
      </x:c>
      <x:c r="H208" s="4" t="s">
        <x:v>48</x:v>
      </x:c>
      <x:c r="I208" s="10"/>
      <x:c r="J208" s="10"/>
      <x:c r="K208" s="10"/>
      <x:c r="L208" s="10"/>
      <x:c r="M208" s="1" t="str">
        <x:f aca="0">C208&amp;"|"&amp;E208&amp;"|"&amp;F208&amp;"|"&amp;G208</x:f>
        <x:v>RC|V01|3|工作经历条数</x:v>
      </x:c>
    </x:row>
    <x:row r="209" ht="16.5" hidden="0" customHeight="1">
      <x:c r="A209" s="4" t="str">
        <x:f aca="0">C209&amp;"-"&amp;E209&amp;"-R"&amp;F209</x:f>
        <x:v>RC-V01-R3</x:v>
      </x:c>
      <x:c r="B209" s="10"/>
      <x:c r="C209" s="4" t="str">
        <x:f aca="0">Reference!$B$3</x:f>
        <x:v>RC</x:v>
      </x:c>
      <x:c r="D209" s="10"/>
      <x:c r="E209" s="4" t="s">
        <x:v>8</x:v>
      </x:c>
      <x:c r="F209" s="4" t="n">
        <x:v>3</x:v>
      </x:c>
      <x:c r="G209" s="5" t="s">
        <x:v>49</x:v>
      </x:c>
      <x:c r="H209" s="4" t="s">
        <x:v>50</x:v>
      </x:c>
      <x:c r="I209" s="10"/>
      <x:c r="J209" s="10"/>
      <x:c r="K209" s="10"/>
      <x:c r="L209" s="10"/>
      <x:c r="M209" s="1" t="str">
        <x:f aca="0">C209&amp;"|"&amp;E209&amp;"|"&amp;F209&amp;"|"&amp;G209</x:f>
        <x:v>RC|V01|3|起止日期</x:v>
      </x:c>
    </x:row>
    <x:row r="210" ht="16.5" hidden="0" customHeight="1">
      <x:c r="A210" s="4" t="str">
        <x:f aca="0">C210&amp;"-"&amp;E210&amp;"-R"&amp;F210</x:f>
        <x:v>RC-V01-R3</x:v>
      </x:c>
      <x:c r="B210" s="10"/>
      <x:c r="C210" s="4" t="str">
        <x:f aca="0">Reference!$B$3</x:f>
        <x:v>RC</x:v>
      </x:c>
      <x:c r="D210" s="10"/>
      <x:c r="E210" s="4" t="s">
        <x:v>8</x:v>
      </x:c>
      <x:c r="F210" s="4" t="n">
        <x:v>3</x:v>
      </x:c>
      <x:c r="G210" s="5" t="s">
        <x:v>51</x:v>
      </x:c>
      <x:c r="H210" s="4" t="s">
        <x:v>52</x:v>
      </x:c>
      <x:c r="I210" s="10"/>
      <x:c r="J210" s="10"/>
      <x:c r="K210" s="10"/>
      <x:c r="L210" s="10"/>
      <x:c r="M210" s="1" t="str">
        <x:f aca="0">C210&amp;"|"&amp;E210&amp;"|"&amp;F210&amp;"|"&amp;G210</x:f>
        <x:v>RC|V01|3|教育背景</x:v>
      </x:c>
    </x:row>
    <x:row r="211" ht="16.5" hidden="0" customHeight="1">
      <x:c r="A211" s="4" t="str">
        <x:f aca="0">C211&amp;"-"&amp;E211&amp;"-R"&amp;F211</x:f>
        <x:v>RC-V01-R3</x:v>
      </x:c>
      <x:c r="B211" s="10"/>
      <x:c r="C211" s="4" t="str">
        <x:f aca="0">Reference!$B$3</x:f>
        <x:v>RC</x:v>
      </x:c>
      <x:c r="D211" s="10"/>
      <x:c r="E211" s="4" t="s">
        <x:v>8</x:v>
      </x:c>
      <x:c r="F211" s="4" t="n">
        <x:v>3</x:v>
      </x:c>
      <x:c r="G211" s="5" t="s">
        <x:v>53</x:v>
      </x:c>
      <x:c r="H211" s="4" t="s">
        <x:v>54</x:v>
      </x:c>
      <x:c r="I211" s="10"/>
      <x:c r="J211" s="10"/>
      <x:c r="K211" s="10"/>
      <x:c r="L211" s="10"/>
      <x:c r="M211" s="1" t="str">
        <x:f aca="0">C211&amp;"|"&amp;E211&amp;"|"&amp;F211&amp;"|"&amp;G211</x:f>
        <x:v>RC|V01|3|技能识别数量</x:v>
      </x:c>
    </x:row>
    <x:row r="212" ht="16.5" hidden="0" customHeight="1">
      <x:c r="A212" s="11" t="str">
        <x:f aca="0">C212&amp;"-"&amp;E212&amp;"-R"&amp;F212</x:f>
        <x:v>RC-V02-R1</x:v>
      </x:c>
      <x:c r="B212" s="10"/>
      <x:c r="C212" s="11" t="str">
        <x:f aca="0">Reference!$B$3</x:f>
        <x:v>RC</x:v>
      </x:c>
      <x:c r="D212" s="10"/>
      <x:c r="E212" s="11" t="s">
        <x:v>10</x:v>
      </x:c>
      <x:c r="F212" s="11" t="n">
        <x:v>1</x:v>
      </x:c>
      <x:c r="G212" s="12" t="s">
        <x:v>35</x:v>
      </x:c>
      <x:c r="H212" s="11" t="s">
        <x:v>36</x:v>
      </x:c>
      <x:c r="I212" s="10"/>
      <x:c r="J212" s="10"/>
      <x:c r="K212" s="10"/>
      <x:c r="L212" s="10"/>
      <x:c r="M212" s="1" t="str">
        <x:f aca="0">C212&amp;"|"&amp;E212&amp;"|"&amp;F212&amp;"|"&amp;G212</x:f>
        <x:v>RC|V02|1|姓名</x:v>
      </x:c>
    </x:row>
    <x:row r="213" ht="16.5" hidden="0" customHeight="1">
      <x:c r="A213" s="11" t="str">
        <x:f aca="0">C213&amp;"-"&amp;E213&amp;"-R"&amp;F213</x:f>
        <x:v>RC-V02-R1</x:v>
      </x:c>
      <x:c r="B213" s="10"/>
      <x:c r="C213" s="11" t="str">
        <x:f aca="0">Reference!$B$3</x:f>
        <x:v>RC</x:v>
      </x:c>
      <x:c r="D213" s="10"/>
      <x:c r="E213" s="11" t="s">
        <x:v>10</x:v>
      </x:c>
      <x:c r="F213" s="11" t="n">
        <x:v>1</x:v>
      </x:c>
      <x:c r="G213" s="12" t="s">
        <x:v>37</x:v>
      </x:c>
      <x:c r="H213" s="11" t="s">
        <x:v>38</x:v>
      </x:c>
      <x:c r="I213" s="10"/>
      <x:c r="J213" s="10"/>
      <x:c r="K213" s="10"/>
      <x:c r="L213" s="10"/>
      <x:c r="M213" s="1" t="str">
        <x:f aca="0">C213&amp;"|"&amp;E213&amp;"|"&amp;F213&amp;"|"&amp;G213</x:f>
        <x:v>RC|V02|1|邮箱</x:v>
      </x:c>
    </x:row>
    <x:row r="214" ht="16.5" hidden="0" customHeight="1">
      <x:c r="A214" s="11" t="str">
        <x:f aca="0">C214&amp;"-"&amp;E214&amp;"-R"&amp;F214</x:f>
        <x:v>RC-V02-R1</x:v>
      </x:c>
      <x:c r="B214" s="10"/>
      <x:c r="C214" s="11" t="str">
        <x:f aca="0">Reference!$B$3</x:f>
        <x:v>RC</x:v>
      </x:c>
      <x:c r="D214" s="10"/>
      <x:c r="E214" s="11" t="s">
        <x:v>10</x:v>
      </x:c>
      <x:c r="F214" s="11" t="n">
        <x:v>1</x:v>
      </x:c>
      <x:c r="G214" s="12" t="s">
        <x:v>39</x:v>
      </x:c>
      <x:c r="H214" s="11" t="s">
        <x:v>40</x:v>
      </x:c>
      <x:c r="I214" s="10"/>
      <x:c r="J214" s="10"/>
      <x:c r="K214" s="10"/>
      <x:c r="L214" s="10"/>
      <x:c r="M214" s="1" t="str">
        <x:f aca="0">C214&amp;"|"&amp;E214&amp;"|"&amp;F214&amp;"|"&amp;G214</x:f>
        <x:v>RC|V02|1|电话</x:v>
      </x:c>
    </x:row>
    <x:row r="215" ht="16.5" hidden="0" customHeight="1">
      <x:c r="A215" s="11" t="str">
        <x:f aca="0">C215&amp;"-"&amp;E215&amp;"-R"&amp;F215</x:f>
        <x:v>RC-V02-R1</x:v>
      </x:c>
      <x:c r="B215" s="10"/>
      <x:c r="C215" s="11" t="str">
        <x:f aca="0">Reference!$B$3</x:f>
        <x:v>RC</x:v>
      </x:c>
      <x:c r="D215" s="10"/>
      <x:c r="E215" s="11" t="s">
        <x:v>10</x:v>
      </x:c>
      <x:c r="F215" s="11" t="n">
        <x:v>1</x:v>
      </x:c>
      <x:c r="G215" s="12" t="s">
        <x:v>41</x:v>
      </x:c>
      <x:c r="H215" s="11" t="s">
        <x:v>42</x:v>
      </x:c>
      <x:c r="I215" s="10"/>
      <x:c r="J215" s="10"/>
      <x:c r="K215" s="10"/>
      <x:c r="L215" s="10"/>
      <x:c r="M215" s="1" t="str">
        <x:f aca="0">C215&amp;"|"&amp;E215&amp;"|"&amp;F215&amp;"|"&amp;G215</x:f>
        <x:v>RC|V02|1|城市</x:v>
      </x:c>
    </x:row>
    <x:row r="216" ht="16.5" hidden="0" customHeight="1">
      <x:c r="A216" s="11" t="str">
        <x:f aca="0">C216&amp;"-"&amp;E216&amp;"-R"&amp;F216</x:f>
        <x:v>RC-V02-R1</x:v>
      </x:c>
      <x:c r="B216" s="10"/>
      <x:c r="C216" s="11" t="str">
        <x:f aca="0">Reference!$B$3</x:f>
        <x:v>RC</x:v>
      </x:c>
      <x:c r="D216" s="10"/>
      <x:c r="E216" s="11" t="s">
        <x:v>10</x:v>
      </x:c>
      <x:c r="F216" s="11" t="n">
        <x:v>1</x:v>
      </x:c>
      <x:c r="G216" s="12" t="s">
        <x:v>43</x:v>
      </x:c>
      <x:c r="H216" s="11" t="s">
        <x:v>44</x:v>
      </x:c>
      <x:c r="I216" s="10"/>
      <x:c r="J216" s="10"/>
      <x:c r="K216" s="10"/>
      <x:c r="L216" s="10"/>
      <x:c r="M216" s="1" t="str">
        <x:f aca="0">C216&amp;"|"&amp;E216&amp;"|"&amp;F216&amp;"|"&amp;G216</x:f>
        <x:v>RC|V02|1|最近公司</x:v>
      </x:c>
    </x:row>
    <x:row r="217" ht="16.5" hidden="0" customHeight="1">
      <x:c r="A217" s="11" t="str">
        <x:f aca="0">C217&amp;"-"&amp;E217&amp;"-R"&amp;F217</x:f>
        <x:v>RC-V02-R1</x:v>
      </x:c>
      <x:c r="B217" s="10"/>
      <x:c r="C217" s="11" t="str">
        <x:f aca="0">Reference!$B$3</x:f>
        <x:v>RC</x:v>
      </x:c>
      <x:c r="D217" s="10"/>
      <x:c r="E217" s="11" t="s">
        <x:v>10</x:v>
      </x:c>
      <x:c r="F217" s="11" t="n">
        <x:v>1</x:v>
      </x:c>
      <x:c r="G217" s="12" t="s">
        <x:v>45</x:v>
      </x:c>
      <x:c r="H217" s="11" t="s">
        <x:v>46</x:v>
      </x:c>
      <x:c r="I217" s="10"/>
      <x:c r="J217" s="10"/>
      <x:c r="K217" s="10"/>
      <x:c r="L217" s="10"/>
      <x:c r="M217" s="1" t="str">
        <x:f aca="0">C217&amp;"|"&amp;E217&amp;"|"&amp;F217&amp;"|"&amp;G217</x:f>
        <x:v>RC|V02|1|最近职位头衔</x:v>
      </x:c>
    </x:row>
    <x:row r="218" ht="16.5" hidden="0" customHeight="1">
      <x:c r="A218" s="11" t="str">
        <x:f aca="0">C218&amp;"-"&amp;E218&amp;"-R"&amp;F218</x:f>
        <x:v>RC-V02-R1</x:v>
      </x:c>
      <x:c r="B218" s="10"/>
      <x:c r="C218" s="11" t="str">
        <x:f aca="0">Reference!$B$3</x:f>
        <x:v>RC</x:v>
      </x:c>
      <x:c r="D218" s="10"/>
      <x:c r="E218" s="11" t="s">
        <x:v>10</x:v>
      </x:c>
      <x:c r="F218" s="11" t="n">
        <x:v>1</x:v>
      </x:c>
      <x:c r="G218" s="12" t="s">
        <x:v>47</x:v>
      </x:c>
      <x:c r="H218" s="11" t="s">
        <x:v>48</x:v>
      </x:c>
      <x:c r="I218" s="10"/>
      <x:c r="J218" s="10"/>
      <x:c r="K218" s="10"/>
      <x:c r="L218" s="10"/>
      <x:c r="M218" s="1" t="str">
        <x:f aca="0">C218&amp;"|"&amp;E218&amp;"|"&amp;F218&amp;"|"&amp;G218</x:f>
        <x:v>RC|V02|1|工作经历条数</x:v>
      </x:c>
    </x:row>
    <x:row r="219" ht="16.5" hidden="0" customHeight="1">
      <x:c r="A219" s="11" t="str">
        <x:f aca="0">C219&amp;"-"&amp;E219&amp;"-R"&amp;F219</x:f>
        <x:v>RC-V02-R1</x:v>
      </x:c>
      <x:c r="B219" s="10"/>
      <x:c r="C219" s="11" t="str">
        <x:f aca="0">Reference!$B$3</x:f>
        <x:v>RC</x:v>
      </x:c>
      <x:c r="D219" s="10"/>
      <x:c r="E219" s="11" t="s">
        <x:v>10</x:v>
      </x:c>
      <x:c r="F219" s="11" t="n">
        <x:v>1</x:v>
      </x:c>
      <x:c r="G219" s="12" t="s">
        <x:v>49</x:v>
      </x:c>
      <x:c r="H219" s="11" t="s">
        <x:v>50</x:v>
      </x:c>
      <x:c r="I219" s="10"/>
      <x:c r="J219" s="10"/>
      <x:c r="K219" s="10"/>
      <x:c r="L219" s="10"/>
      <x:c r="M219" s="1" t="str">
        <x:f aca="0">C219&amp;"|"&amp;E219&amp;"|"&amp;F219&amp;"|"&amp;G219</x:f>
        <x:v>RC|V02|1|起止日期</x:v>
      </x:c>
    </x:row>
    <x:row r="220" ht="16.5" hidden="0" customHeight="1">
      <x:c r="A220" s="11" t="str">
        <x:f aca="0">C220&amp;"-"&amp;E220&amp;"-R"&amp;F220</x:f>
        <x:v>RC-V02-R1</x:v>
      </x:c>
      <x:c r="B220" s="10"/>
      <x:c r="C220" s="11" t="str">
        <x:f aca="0">Reference!$B$3</x:f>
        <x:v>RC</x:v>
      </x:c>
      <x:c r="D220" s="10"/>
      <x:c r="E220" s="11" t="s">
        <x:v>10</x:v>
      </x:c>
      <x:c r="F220" s="11" t="n">
        <x:v>1</x:v>
      </x:c>
      <x:c r="G220" s="12" t="s">
        <x:v>51</x:v>
      </x:c>
      <x:c r="H220" s="11" t="s">
        <x:v>52</x:v>
      </x:c>
      <x:c r="I220" s="10"/>
      <x:c r="J220" s="10"/>
      <x:c r="K220" s="10"/>
      <x:c r="L220" s="10"/>
      <x:c r="M220" s="1" t="str">
        <x:f aca="0">C220&amp;"|"&amp;E220&amp;"|"&amp;F220&amp;"|"&amp;G220</x:f>
        <x:v>RC|V02|1|教育背景</x:v>
      </x:c>
    </x:row>
    <x:row r="221" ht="16.5" hidden="0" customHeight="1">
      <x:c r="A221" s="11" t="str">
        <x:f aca="0">C221&amp;"-"&amp;E221&amp;"-R"&amp;F221</x:f>
        <x:v>RC-V02-R1</x:v>
      </x:c>
      <x:c r="B221" s="10"/>
      <x:c r="C221" s="11" t="str">
        <x:f aca="0">Reference!$B$3</x:f>
        <x:v>RC</x:v>
      </x:c>
      <x:c r="D221" s="10"/>
      <x:c r="E221" s="11" t="s">
        <x:v>10</x:v>
      </x:c>
      <x:c r="F221" s="11" t="n">
        <x:v>1</x:v>
      </x:c>
      <x:c r="G221" s="12" t="s">
        <x:v>53</x:v>
      </x:c>
      <x:c r="H221" s="11" t="s">
        <x:v>54</x:v>
      </x:c>
      <x:c r="I221" s="10"/>
      <x:c r="J221" s="10"/>
      <x:c r="K221" s="10"/>
      <x:c r="L221" s="10"/>
      <x:c r="M221" s="1" t="str">
        <x:f aca="0">C221&amp;"|"&amp;E221&amp;"|"&amp;F221&amp;"|"&amp;G221</x:f>
        <x:v>RC|V02|1|技能识别数量</x:v>
      </x:c>
    </x:row>
    <x:row r="222" ht="16.5" hidden="0" customHeight="1">
      <x:c r="A222" s="11" t="str">
        <x:f aca="0">C222&amp;"-"&amp;E222&amp;"-R"&amp;F222</x:f>
        <x:v>RC-V02-R2</x:v>
      </x:c>
      <x:c r="B222" s="10"/>
      <x:c r="C222" s="11" t="str">
        <x:f aca="0">Reference!$B$3</x:f>
        <x:v>RC</x:v>
      </x:c>
      <x:c r="D222" s="10"/>
      <x:c r="E222" s="11" t="s">
        <x:v>10</x:v>
      </x:c>
      <x:c r="F222" s="11" t="n">
        <x:v>2</x:v>
      </x:c>
      <x:c r="G222" s="12" t="s">
        <x:v>35</x:v>
      </x:c>
      <x:c r="H222" s="11" t="s">
        <x:v>36</x:v>
      </x:c>
      <x:c r="I222" s="10"/>
      <x:c r="J222" s="10"/>
      <x:c r="K222" s="10"/>
      <x:c r="L222" s="10"/>
      <x:c r="M222" s="1" t="str">
        <x:f aca="0">C222&amp;"|"&amp;E222&amp;"|"&amp;F222&amp;"|"&amp;G222</x:f>
        <x:v>RC|V02|2|姓名</x:v>
      </x:c>
    </x:row>
    <x:row r="223" ht="16.5" hidden="0" customHeight="1">
      <x:c r="A223" s="11" t="str">
        <x:f aca="0">C223&amp;"-"&amp;E223&amp;"-R"&amp;F223</x:f>
        <x:v>RC-V02-R2</x:v>
      </x:c>
      <x:c r="B223" s="10"/>
      <x:c r="C223" s="11" t="str">
        <x:f aca="0">Reference!$B$3</x:f>
        <x:v>RC</x:v>
      </x:c>
      <x:c r="D223" s="10"/>
      <x:c r="E223" s="11" t="s">
        <x:v>10</x:v>
      </x:c>
      <x:c r="F223" s="11" t="n">
        <x:v>2</x:v>
      </x:c>
      <x:c r="G223" s="12" t="s">
        <x:v>37</x:v>
      </x:c>
      <x:c r="H223" s="11" t="s">
        <x:v>38</x:v>
      </x:c>
      <x:c r="I223" s="10"/>
      <x:c r="J223" s="10"/>
      <x:c r="K223" s="10"/>
      <x:c r="L223" s="10"/>
      <x:c r="M223" s="1" t="str">
        <x:f aca="0">C223&amp;"|"&amp;E223&amp;"|"&amp;F223&amp;"|"&amp;G223</x:f>
        <x:v>RC|V02|2|邮箱</x:v>
      </x:c>
    </x:row>
    <x:row r="224" ht="16.5" hidden="0" customHeight="1">
      <x:c r="A224" s="11" t="str">
        <x:f aca="0">C224&amp;"-"&amp;E224&amp;"-R"&amp;F224</x:f>
        <x:v>RC-V02-R2</x:v>
      </x:c>
      <x:c r="B224" s="10"/>
      <x:c r="C224" s="11" t="str">
        <x:f aca="0">Reference!$B$3</x:f>
        <x:v>RC</x:v>
      </x:c>
      <x:c r="D224" s="10"/>
      <x:c r="E224" s="11" t="s">
        <x:v>10</x:v>
      </x:c>
      <x:c r="F224" s="11" t="n">
        <x:v>2</x:v>
      </x:c>
      <x:c r="G224" s="12" t="s">
        <x:v>39</x:v>
      </x:c>
      <x:c r="H224" s="11" t="s">
        <x:v>40</x:v>
      </x:c>
      <x:c r="I224" s="10"/>
      <x:c r="J224" s="10"/>
      <x:c r="K224" s="10"/>
      <x:c r="L224" s="10"/>
      <x:c r="M224" s="1" t="str">
        <x:f aca="0">C224&amp;"|"&amp;E224&amp;"|"&amp;F224&amp;"|"&amp;G224</x:f>
        <x:v>RC|V02|2|电话</x:v>
      </x:c>
    </x:row>
    <x:row r="225" ht="16.5" hidden="0" customHeight="1">
      <x:c r="A225" s="11" t="str">
        <x:f aca="0">C225&amp;"-"&amp;E225&amp;"-R"&amp;F225</x:f>
        <x:v>RC-V02-R2</x:v>
      </x:c>
      <x:c r="B225" s="10"/>
      <x:c r="C225" s="11" t="str">
        <x:f aca="0">Reference!$B$3</x:f>
        <x:v>RC</x:v>
      </x:c>
      <x:c r="D225" s="10"/>
      <x:c r="E225" s="11" t="s">
        <x:v>10</x:v>
      </x:c>
      <x:c r="F225" s="11" t="n">
        <x:v>2</x:v>
      </x:c>
      <x:c r="G225" s="12" t="s">
        <x:v>41</x:v>
      </x:c>
      <x:c r="H225" s="11" t="s">
        <x:v>42</x:v>
      </x:c>
      <x:c r="I225" s="10"/>
      <x:c r="J225" s="10"/>
      <x:c r="K225" s="10"/>
      <x:c r="L225" s="10"/>
      <x:c r="M225" s="1" t="str">
        <x:f aca="0">C225&amp;"|"&amp;E225&amp;"|"&amp;F225&amp;"|"&amp;G225</x:f>
        <x:v>RC|V02|2|城市</x:v>
      </x:c>
    </x:row>
    <x:row r="226" ht="16.5" hidden="0" customHeight="1">
      <x:c r="A226" s="11" t="str">
        <x:f aca="0">C226&amp;"-"&amp;E226&amp;"-R"&amp;F226</x:f>
        <x:v>RC-V02-R2</x:v>
      </x:c>
      <x:c r="B226" s="10"/>
      <x:c r="C226" s="11" t="str">
        <x:f aca="0">Reference!$B$3</x:f>
        <x:v>RC</x:v>
      </x:c>
      <x:c r="D226" s="10"/>
      <x:c r="E226" s="11" t="s">
        <x:v>10</x:v>
      </x:c>
      <x:c r="F226" s="11" t="n">
        <x:v>2</x:v>
      </x:c>
      <x:c r="G226" s="12" t="s">
        <x:v>43</x:v>
      </x:c>
      <x:c r="H226" s="11" t="s">
        <x:v>44</x:v>
      </x:c>
      <x:c r="I226" s="10"/>
      <x:c r="J226" s="10"/>
      <x:c r="K226" s="10"/>
      <x:c r="L226" s="10"/>
      <x:c r="M226" s="1" t="str">
        <x:f aca="0">C226&amp;"|"&amp;E226&amp;"|"&amp;F226&amp;"|"&amp;G226</x:f>
        <x:v>RC|V02|2|最近公司</x:v>
      </x:c>
    </x:row>
    <x:row r="227" ht="16.5" hidden="0" customHeight="1">
      <x:c r="A227" s="11" t="str">
        <x:f aca="0">C227&amp;"-"&amp;E227&amp;"-R"&amp;F227</x:f>
        <x:v>RC-V02-R2</x:v>
      </x:c>
      <x:c r="B227" s="10"/>
      <x:c r="C227" s="11" t="str">
        <x:f aca="0">Reference!$B$3</x:f>
        <x:v>RC</x:v>
      </x:c>
      <x:c r="D227" s="10"/>
      <x:c r="E227" s="11" t="s">
        <x:v>10</x:v>
      </x:c>
      <x:c r="F227" s="11" t="n">
        <x:v>2</x:v>
      </x:c>
      <x:c r="G227" s="12" t="s">
        <x:v>45</x:v>
      </x:c>
      <x:c r="H227" s="11" t="s">
        <x:v>46</x:v>
      </x:c>
      <x:c r="I227" s="10"/>
      <x:c r="J227" s="10"/>
      <x:c r="K227" s="10"/>
      <x:c r="L227" s="10"/>
      <x:c r="M227" s="1" t="str">
        <x:f aca="0">C227&amp;"|"&amp;E227&amp;"|"&amp;F227&amp;"|"&amp;G227</x:f>
        <x:v>RC|V02|2|最近职位头衔</x:v>
      </x:c>
    </x:row>
    <x:row r="228" ht="16.5" hidden="0" customHeight="1">
      <x:c r="A228" s="11" t="str">
        <x:f aca="0">C228&amp;"-"&amp;E228&amp;"-R"&amp;F228</x:f>
        <x:v>RC-V02-R2</x:v>
      </x:c>
      <x:c r="B228" s="10"/>
      <x:c r="C228" s="11" t="str">
        <x:f aca="0">Reference!$B$3</x:f>
        <x:v>RC</x:v>
      </x:c>
      <x:c r="D228" s="10"/>
      <x:c r="E228" s="11" t="s">
        <x:v>10</x:v>
      </x:c>
      <x:c r="F228" s="11" t="n">
        <x:v>2</x:v>
      </x:c>
      <x:c r="G228" s="12" t="s">
        <x:v>47</x:v>
      </x:c>
      <x:c r="H228" s="11" t="s">
        <x:v>48</x:v>
      </x:c>
      <x:c r="I228" s="10"/>
      <x:c r="J228" s="10"/>
      <x:c r="K228" s="10"/>
      <x:c r="L228" s="10"/>
      <x:c r="M228" s="1" t="str">
        <x:f aca="0">C228&amp;"|"&amp;E228&amp;"|"&amp;F228&amp;"|"&amp;G228</x:f>
        <x:v>RC|V02|2|工作经历条数</x:v>
      </x:c>
    </x:row>
    <x:row r="229" ht="16.5" hidden="0" customHeight="1">
      <x:c r="A229" s="11" t="str">
        <x:f aca="0">C229&amp;"-"&amp;E229&amp;"-R"&amp;F229</x:f>
        <x:v>RC-V02-R2</x:v>
      </x:c>
      <x:c r="B229" s="10"/>
      <x:c r="C229" s="11" t="str">
        <x:f aca="0">Reference!$B$3</x:f>
        <x:v>RC</x:v>
      </x:c>
      <x:c r="D229" s="10"/>
      <x:c r="E229" s="11" t="s">
        <x:v>10</x:v>
      </x:c>
      <x:c r="F229" s="11" t="n">
        <x:v>2</x:v>
      </x:c>
      <x:c r="G229" s="12" t="s">
        <x:v>49</x:v>
      </x:c>
      <x:c r="H229" s="11" t="s">
        <x:v>50</x:v>
      </x:c>
      <x:c r="I229" s="10"/>
      <x:c r="J229" s="10"/>
      <x:c r="K229" s="10"/>
      <x:c r="L229" s="10"/>
      <x:c r="M229" s="1" t="str">
        <x:f aca="0">C229&amp;"|"&amp;E229&amp;"|"&amp;F229&amp;"|"&amp;G229</x:f>
        <x:v>RC|V02|2|起止日期</x:v>
      </x:c>
    </x:row>
    <x:row r="230" ht="16.5" hidden="0" customHeight="1">
      <x:c r="A230" s="11" t="str">
        <x:f aca="0">C230&amp;"-"&amp;E230&amp;"-R"&amp;F230</x:f>
        <x:v>RC-V02-R2</x:v>
      </x:c>
      <x:c r="B230" s="10"/>
      <x:c r="C230" s="11" t="str">
        <x:f aca="0">Reference!$B$3</x:f>
        <x:v>RC</x:v>
      </x:c>
      <x:c r="D230" s="10"/>
      <x:c r="E230" s="11" t="s">
        <x:v>10</x:v>
      </x:c>
      <x:c r="F230" s="11" t="n">
        <x:v>2</x:v>
      </x:c>
      <x:c r="G230" s="12" t="s">
        <x:v>51</x:v>
      </x:c>
      <x:c r="H230" s="11" t="s">
        <x:v>52</x:v>
      </x:c>
      <x:c r="I230" s="10"/>
      <x:c r="J230" s="10"/>
      <x:c r="K230" s="10"/>
      <x:c r="L230" s="10"/>
      <x:c r="M230" s="1" t="str">
        <x:f aca="0">C230&amp;"|"&amp;E230&amp;"|"&amp;F230&amp;"|"&amp;G230</x:f>
        <x:v>RC|V02|2|教育背景</x:v>
      </x:c>
    </x:row>
    <x:row r="231" ht="16.5" hidden="0" customHeight="1">
      <x:c r="A231" s="11" t="str">
        <x:f aca="0">C231&amp;"-"&amp;E231&amp;"-R"&amp;F231</x:f>
        <x:v>RC-V02-R2</x:v>
      </x:c>
      <x:c r="B231" s="10"/>
      <x:c r="C231" s="11" t="str">
        <x:f aca="0">Reference!$B$3</x:f>
        <x:v>RC</x:v>
      </x:c>
      <x:c r="D231" s="10"/>
      <x:c r="E231" s="11" t="s">
        <x:v>10</x:v>
      </x:c>
      <x:c r="F231" s="11" t="n">
        <x:v>2</x:v>
      </x:c>
      <x:c r="G231" s="12" t="s">
        <x:v>53</x:v>
      </x:c>
      <x:c r="H231" s="11" t="s">
        <x:v>54</x:v>
      </x:c>
      <x:c r="I231" s="10"/>
      <x:c r="J231" s="10"/>
      <x:c r="K231" s="10"/>
      <x:c r="L231" s="10"/>
      <x:c r="M231" s="1" t="str">
        <x:f aca="0">C231&amp;"|"&amp;E231&amp;"|"&amp;F231&amp;"|"&amp;G231</x:f>
        <x:v>RC|V02|2|技能识别数量</x:v>
      </x:c>
    </x:row>
    <x:row r="232" ht="16.5" hidden="0" customHeight="1">
      <x:c r="A232" s="11" t="str">
        <x:f aca="0">C232&amp;"-"&amp;E232&amp;"-R"&amp;F232</x:f>
        <x:v>RC-V02-R3</x:v>
      </x:c>
      <x:c r="B232" s="10"/>
      <x:c r="C232" s="11" t="str">
        <x:f aca="0">Reference!$B$3</x:f>
        <x:v>RC</x:v>
      </x:c>
      <x:c r="D232" s="10"/>
      <x:c r="E232" s="11" t="s">
        <x:v>10</x:v>
      </x:c>
      <x:c r="F232" s="11" t="n">
        <x:v>3</x:v>
      </x:c>
      <x:c r="G232" s="12" t="s">
        <x:v>35</x:v>
      </x:c>
      <x:c r="H232" s="11" t="s">
        <x:v>36</x:v>
      </x:c>
      <x:c r="I232" s="10"/>
      <x:c r="J232" s="10"/>
      <x:c r="K232" s="10"/>
      <x:c r="L232" s="10"/>
      <x:c r="M232" s="1" t="str">
        <x:f aca="0">C232&amp;"|"&amp;E232&amp;"|"&amp;F232&amp;"|"&amp;G232</x:f>
        <x:v>RC|V02|3|姓名</x:v>
      </x:c>
    </x:row>
    <x:row r="233" ht="16.5" hidden="0" customHeight="1">
      <x:c r="A233" s="11" t="str">
        <x:f aca="0">C233&amp;"-"&amp;E233&amp;"-R"&amp;F233</x:f>
        <x:v>RC-V02-R3</x:v>
      </x:c>
      <x:c r="B233" s="10"/>
      <x:c r="C233" s="11" t="str">
        <x:f aca="0">Reference!$B$3</x:f>
        <x:v>RC</x:v>
      </x:c>
      <x:c r="D233" s="10"/>
      <x:c r="E233" s="11" t="s">
        <x:v>10</x:v>
      </x:c>
      <x:c r="F233" s="11" t="n">
        <x:v>3</x:v>
      </x:c>
      <x:c r="G233" s="12" t="s">
        <x:v>37</x:v>
      </x:c>
      <x:c r="H233" s="11" t="s">
        <x:v>38</x:v>
      </x:c>
      <x:c r="I233" s="10"/>
      <x:c r="J233" s="10"/>
      <x:c r="K233" s="10"/>
      <x:c r="L233" s="10"/>
      <x:c r="M233" s="1" t="str">
        <x:f aca="0">C233&amp;"|"&amp;E233&amp;"|"&amp;F233&amp;"|"&amp;G233</x:f>
        <x:v>RC|V02|3|邮箱</x:v>
      </x:c>
    </x:row>
    <x:row r="234" ht="16.5" hidden="0" customHeight="1">
      <x:c r="A234" s="11" t="str">
        <x:f aca="0">C234&amp;"-"&amp;E234&amp;"-R"&amp;F234</x:f>
        <x:v>RC-V02-R3</x:v>
      </x:c>
      <x:c r="B234" s="10"/>
      <x:c r="C234" s="11" t="str">
        <x:f aca="0">Reference!$B$3</x:f>
        <x:v>RC</x:v>
      </x:c>
      <x:c r="D234" s="10"/>
      <x:c r="E234" s="11" t="s">
        <x:v>10</x:v>
      </x:c>
      <x:c r="F234" s="11" t="n">
        <x:v>3</x:v>
      </x:c>
      <x:c r="G234" s="12" t="s">
        <x:v>39</x:v>
      </x:c>
      <x:c r="H234" s="11" t="s">
        <x:v>40</x:v>
      </x:c>
      <x:c r="I234" s="10"/>
      <x:c r="J234" s="10"/>
      <x:c r="K234" s="10"/>
      <x:c r="L234" s="10"/>
      <x:c r="M234" s="1" t="str">
        <x:f aca="0">C234&amp;"|"&amp;E234&amp;"|"&amp;F234&amp;"|"&amp;G234</x:f>
        <x:v>RC|V02|3|电话</x:v>
      </x:c>
    </x:row>
    <x:row r="235" ht="16.5" hidden="0" customHeight="1">
      <x:c r="A235" s="11" t="str">
        <x:f aca="0">C235&amp;"-"&amp;E235&amp;"-R"&amp;F235</x:f>
        <x:v>RC-V02-R3</x:v>
      </x:c>
      <x:c r="B235" s="10"/>
      <x:c r="C235" s="11" t="str">
        <x:f aca="0">Reference!$B$3</x:f>
        <x:v>RC</x:v>
      </x:c>
      <x:c r="D235" s="10"/>
      <x:c r="E235" s="11" t="s">
        <x:v>10</x:v>
      </x:c>
      <x:c r="F235" s="11" t="n">
        <x:v>3</x:v>
      </x:c>
      <x:c r="G235" s="12" t="s">
        <x:v>41</x:v>
      </x:c>
      <x:c r="H235" s="11" t="s">
        <x:v>42</x:v>
      </x:c>
      <x:c r="I235" s="10"/>
      <x:c r="J235" s="10"/>
      <x:c r="K235" s="10"/>
      <x:c r="L235" s="10"/>
      <x:c r="M235" s="1" t="str">
        <x:f aca="0">C235&amp;"|"&amp;E235&amp;"|"&amp;F235&amp;"|"&amp;G235</x:f>
        <x:v>RC|V02|3|城市</x:v>
      </x:c>
    </x:row>
    <x:row r="236" ht="16.5" hidden="0" customHeight="1">
      <x:c r="A236" s="11" t="str">
        <x:f aca="0">C236&amp;"-"&amp;E236&amp;"-R"&amp;F236</x:f>
        <x:v>RC-V02-R3</x:v>
      </x:c>
      <x:c r="B236" s="10"/>
      <x:c r="C236" s="11" t="str">
        <x:f aca="0">Reference!$B$3</x:f>
        <x:v>RC</x:v>
      </x:c>
      <x:c r="D236" s="10"/>
      <x:c r="E236" s="11" t="s">
        <x:v>10</x:v>
      </x:c>
      <x:c r="F236" s="11" t="n">
        <x:v>3</x:v>
      </x:c>
      <x:c r="G236" s="12" t="s">
        <x:v>43</x:v>
      </x:c>
      <x:c r="H236" s="11" t="s">
        <x:v>44</x:v>
      </x:c>
      <x:c r="I236" s="10"/>
      <x:c r="J236" s="10"/>
      <x:c r="K236" s="10"/>
      <x:c r="L236" s="10"/>
      <x:c r="M236" s="1" t="str">
        <x:f aca="0">C236&amp;"|"&amp;E236&amp;"|"&amp;F236&amp;"|"&amp;G236</x:f>
        <x:v>RC|V02|3|最近公司</x:v>
      </x:c>
    </x:row>
    <x:row r="237" ht="16.5" hidden="0" customHeight="1">
      <x:c r="A237" s="11" t="str">
        <x:f aca="0">C237&amp;"-"&amp;E237&amp;"-R"&amp;F237</x:f>
        <x:v>RC-V02-R3</x:v>
      </x:c>
      <x:c r="B237" s="10"/>
      <x:c r="C237" s="11" t="str">
        <x:f aca="0">Reference!$B$3</x:f>
        <x:v>RC</x:v>
      </x:c>
      <x:c r="D237" s="10"/>
      <x:c r="E237" s="11" t="s">
        <x:v>10</x:v>
      </x:c>
      <x:c r="F237" s="11" t="n">
        <x:v>3</x:v>
      </x:c>
      <x:c r="G237" s="12" t="s">
        <x:v>45</x:v>
      </x:c>
      <x:c r="H237" s="11" t="s">
        <x:v>46</x:v>
      </x:c>
      <x:c r="I237" s="10"/>
      <x:c r="J237" s="10"/>
      <x:c r="K237" s="10"/>
      <x:c r="L237" s="10"/>
      <x:c r="M237" s="1" t="str">
        <x:f aca="0">C237&amp;"|"&amp;E237&amp;"|"&amp;F237&amp;"|"&amp;G237</x:f>
        <x:v>RC|V02|3|最近职位头衔</x:v>
      </x:c>
    </x:row>
    <x:row r="238" ht="16.5" hidden="0" customHeight="1">
      <x:c r="A238" s="11" t="str">
        <x:f aca="0">C238&amp;"-"&amp;E238&amp;"-R"&amp;F238</x:f>
        <x:v>RC-V02-R3</x:v>
      </x:c>
      <x:c r="B238" s="10"/>
      <x:c r="C238" s="11" t="str">
        <x:f aca="0">Reference!$B$3</x:f>
        <x:v>RC</x:v>
      </x:c>
      <x:c r="D238" s="10"/>
      <x:c r="E238" s="11" t="s">
        <x:v>10</x:v>
      </x:c>
      <x:c r="F238" s="11" t="n">
        <x:v>3</x:v>
      </x:c>
      <x:c r="G238" s="12" t="s">
        <x:v>47</x:v>
      </x:c>
      <x:c r="H238" s="11" t="s">
        <x:v>48</x:v>
      </x:c>
      <x:c r="I238" s="10"/>
      <x:c r="J238" s="10"/>
      <x:c r="K238" s="10"/>
      <x:c r="L238" s="10"/>
      <x:c r="M238" s="1" t="str">
        <x:f aca="0">C238&amp;"|"&amp;E238&amp;"|"&amp;F238&amp;"|"&amp;G238</x:f>
        <x:v>RC|V02|3|工作经历条数</x:v>
      </x:c>
    </x:row>
    <x:row r="239" ht="16.5" hidden="0" customHeight="1">
      <x:c r="A239" s="11" t="str">
        <x:f aca="0">C239&amp;"-"&amp;E239&amp;"-R"&amp;F239</x:f>
        <x:v>RC-V02-R3</x:v>
      </x:c>
      <x:c r="B239" s="10"/>
      <x:c r="C239" s="11" t="str">
        <x:f aca="0">Reference!$B$3</x:f>
        <x:v>RC</x:v>
      </x:c>
      <x:c r="D239" s="10"/>
      <x:c r="E239" s="11" t="s">
        <x:v>10</x:v>
      </x:c>
      <x:c r="F239" s="11" t="n">
        <x:v>3</x:v>
      </x:c>
      <x:c r="G239" s="12" t="s">
        <x:v>49</x:v>
      </x:c>
      <x:c r="H239" s="11" t="s">
        <x:v>50</x:v>
      </x:c>
      <x:c r="I239" s="10"/>
      <x:c r="J239" s="10"/>
      <x:c r="K239" s="10"/>
      <x:c r="L239" s="10"/>
      <x:c r="M239" s="1" t="str">
        <x:f aca="0">C239&amp;"|"&amp;E239&amp;"|"&amp;F239&amp;"|"&amp;G239</x:f>
        <x:v>RC|V02|3|起止日期</x:v>
      </x:c>
    </x:row>
    <x:row r="240" ht="16.5" hidden="0" customHeight="1">
      <x:c r="A240" s="11" t="str">
        <x:f aca="0">C240&amp;"-"&amp;E240&amp;"-R"&amp;F240</x:f>
        <x:v>RC-V02-R3</x:v>
      </x:c>
      <x:c r="B240" s="10"/>
      <x:c r="C240" s="11" t="str">
        <x:f aca="0">Reference!$B$3</x:f>
        <x:v>RC</x:v>
      </x:c>
      <x:c r="D240" s="10"/>
      <x:c r="E240" s="11" t="s">
        <x:v>10</x:v>
      </x:c>
      <x:c r="F240" s="11" t="n">
        <x:v>3</x:v>
      </x:c>
      <x:c r="G240" s="12" t="s">
        <x:v>51</x:v>
      </x:c>
      <x:c r="H240" s="11" t="s">
        <x:v>52</x:v>
      </x:c>
      <x:c r="I240" s="10"/>
      <x:c r="J240" s="10"/>
      <x:c r="K240" s="10"/>
      <x:c r="L240" s="10"/>
      <x:c r="M240" s="1" t="str">
        <x:f aca="0">C240&amp;"|"&amp;E240&amp;"|"&amp;F240&amp;"|"&amp;G240</x:f>
        <x:v>RC|V02|3|教育背景</x:v>
      </x:c>
    </x:row>
    <x:row r="241" ht="16.5" hidden="0" customHeight="1">
      <x:c r="A241" s="11" t="str">
        <x:f aca="0">C241&amp;"-"&amp;E241&amp;"-R"&amp;F241</x:f>
        <x:v>RC-V02-R3</x:v>
      </x:c>
      <x:c r="B241" s="10"/>
      <x:c r="C241" s="11" t="str">
        <x:f aca="0">Reference!$B$3</x:f>
        <x:v>RC</x:v>
      </x:c>
      <x:c r="D241" s="10"/>
      <x:c r="E241" s="11" t="s">
        <x:v>10</x:v>
      </x:c>
      <x:c r="F241" s="11" t="n">
        <x:v>3</x:v>
      </x:c>
      <x:c r="G241" s="12" t="s">
        <x:v>53</x:v>
      </x:c>
      <x:c r="H241" s="11" t="s">
        <x:v>54</x:v>
      </x:c>
      <x:c r="I241" s="10"/>
      <x:c r="J241" s="10"/>
      <x:c r="K241" s="10"/>
      <x:c r="L241" s="10"/>
      <x:c r="M241" s="1" t="str">
        <x:f aca="0">C241&amp;"|"&amp;E241&amp;"|"&amp;F241&amp;"|"&amp;G241</x:f>
        <x:v>RC|V02|3|技能识别数量</x:v>
      </x:c>
    </x:row>
    <x:row r="242" ht="16.5" hidden="0" customHeight="1">
      <x:c r="A242" s="4" t="str">
        <x:f aca="0">C242&amp;"-"&amp;E242&amp;"-R"&amp;F242</x:f>
        <x:v>RC-V03-R1</x:v>
      </x:c>
      <x:c r="B242" s="10"/>
      <x:c r="C242" s="4" t="str">
        <x:f aca="0">Reference!$B$3</x:f>
        <x:v>RC</x:v>
      </x:c>
      <x:c r="D242" s="10"/>
      <x:c r="E242" s="4" t="s">
        <x:v>12</x:v>
      </x:c>
      <x:c r="F242" s="4" t="n">
        <x:v>1</x:v>
      </x:c>
      <x:c r="G242" s="5" t="s">
        <x:v>35</x:v>
      </x:c>
      <x:c r="H242" s="4" t="s">
        <x:v>36</x:v>
      </x:c>
      <x:c r="I242" s="10"/>
      <x:c r="J242" s="10"/>
      <x:c r="K242" s="10"/>
      <x:c r="L242" s="10"/>
      <x:c r="M242" s="1" t="str">
        <x:f aca="0">C242&amp;"|"&amp;E242&amp;"|"&amp;F242&amp;"|"&amp;G242</x:f>
        <x:v>RC|V03|1|姓名</x:v>
      </x:c>
    </x:row>
    <x:row r="243" ht="16.5" hidden="0" customHeight="1">
      <x:c r="A243" s="4" t="str">
        <x:f aca="0">C243&amp;"-"&amp;E243&amp;"-R"&amp;F243</x:f>
        <x:v>RC-V03-R1</x:v>
      </x:c>
      <x:c r="B243" s="10"/>
      <x:c r="C243" s="4" t="str">
        <x:f aca="0">Reference!$B$3</x:f>
        <x:v>RC</x:v>
      </x:c>
      <x:c r="D243" s="10"/>
      <x:c r="E243" s="4" t="s">
        <x:v>12</x:v>
      </x:c>
      <x:c r="F243" s="4" t="n">
        <x:v>1</x:v>
      </x:c>
      <x:c r="G243" s="5" t="s">
        <x:v>37</x:v>
      </x:c>
      <x:c r="H243" s="4" t="s">
        <x:v>38</x:v>
      </x:c>
      <x:c r="I243" s="10"/>
      <x:c r="J243" s="10"/>
      <x:c r="K243" s="10"/>
      <x:c r="L243" s="10"/>
      <x:c r="M243" s="1" t="str">
        <x:f aca="0">C243&amp;"|"&amp;E243&amp;"|"&amp;F243&amp;"|"&amp;G243</x:f>
        <x:v>RC|V03|1|邮箱</x:v>
      </x:c>
    </x:row>
    <x:row r="244" ht="16.5" hidden="0" customHeight="1">
      <x:c r="A244" s="4" t="str">
        <x:f aca="0">C244&amp;"-"&amp;E244&amp;"-R"&amp;F244</x:f>
        <x:v>RC-V03-R1</x:v>
      </x:c>
      <x:c r="B244" s="10"/>
      <x:c r="C244" s="4" t="str">
        <x:f aca="0">Reference!$B$3</x:f>
        <x:v>RC</x:v>
      </x:c>
      <x:c r="D244" s="10"/>
      <x:c r="E244" s="4" t="s">
        <x:v>12</x:v>
      </x:c>
      <x:c r="F244" s="4" t="n">
        <x:v>1</x:v>
      </x:c>
      <x:c r="G244" s="5" t="s">
        <x:v>39</x:v>
      </x:c>
      <x:c r="H244" s="4" t="s">
        <x:v>40</x:v>
      </x:c>
      <x:c r="I244" s="10"/>
      <x:c r="J244" s="10"/>
      <x:c r="K244" s="10"/>
      <x:c r="L244" s="10"/>
      <x:c r="M244" s="1" t="str">
        <x:f aca="0">C244&amp;"|"&amp;E244&amp;"|"&amp;F244&amp;"|"&amp;G244</x:f>
        <x:v>RC|V03|1|电话</x:v>
      </x:c>
    </x:row>
    <x:row r="245" ht="16.5" hidden="0" customHeight="1">
      <x:c r="A245" s="4" t="str">
        <x:f aca="0">C245&amp;"-"&amp;E245&amp;"-R"&amp;F245</x:f>
        <x:v>RC-V03-R1</x:v>
      </x:c>
      <x:c r="B245" s="10"/>
      <x:c r="C245" s="4" t="str">
        <x:f aca="0">Reference!$B$3</x:f>
        <x:v>RC</x:v>
      </x:c>
      <x:c r="D245" s="10"/>
      <x:c r="E245" s="4" t="s">
        <x:v>12</x:v>
      </x:c>
      <x:c r="F245" s="4" t="n">
        <x:v>1</x:v>
      </x:c>
      <x:c r="G245" s="5" t="s">
        <x:v>41</x:v>
      </x:c>
      <x:c r="H245" s="4" t="s">
        <x:v>42</x:v>
      </x:c>
      <x:c r="I245" s="10"/>
      <x:c r="J245" s="10"/>
      <x:c r="K245" s="10"/>
      <x:c r="L245" s="10"/>
      <x:c r="M245" s="1" t="str">
        <x:f aca="0">C245&amp;"|"&amp;E245&amp;"|"&amp;F245&amp;"|"&amp;G245</x:f>
        <x:v>RC|V03|1|城市</x:v>
      </x:c>
    </x:row>
    <x:row r="246" ht="16.5" hidden="0" customHeight="1">
      <x:c r="A246" s="4" t="str">
        <x:f aca="0">C246&amp;"-"&amp;E246&amp;"-R"&amp;F246</x:f>
        <x:v>RC-V03-R1</x:v>
      </x:c>
      <x:c r="B246" s="10"/>
      <x:c r="C246" s="4" t="str">
        <x:f aca="0">Reference!$B$3</x:f>
        <x:v>RC</x:v>
      </x:c>
      <x:c r="D246" s="10"/>
      <x:c r="E246" s="4" t="s">
        <x:v>12</x:v>
      </x:c>
      <x:c r="F246" s="4" t="n">
        <x:v>1</x:v>
      </x:c>
      <x:c r="G246" s="5" t="s">
        <x:v>43</x:v>
      </x:c>
      <x:c r="H246" s="4" t="s">
        <x:v>44</x:v>
      </x:c>
      <x:c r="I246" s="10"/>
      <x:c r="J246" s="10"/>
      <x:c r="K246" s="10"/>
      <x:c r="L246" s="10"/>
      <x:c r="M246" s="1" t="str">
        <x:f aca="0">C246&amp;"|"&amp;E246&amp;"|"&amp;F246&amp;"|"&amp;G246</x:f>
        <x:v>RC|V03|1|最近公司</x:v>
      </x:c>
    </x:row>
    <x:row r="247" ht="16.5" hidden="0" customHeight="1">
      <x:c r="A247" s="4" t="str">
        <x:f aca="0">C247&amp;"-"&amp;E247&amp;"-R"&amp;F247</x:f>
        <x:v>RC-V03-R1</x:v>
      </x:c>
      <x:c r="B247" s="10"/>
      <x:c r="C247" s="4" t="str">
        <x:f aca="0">Reference!$B$3</x:f>
        <x:v>RC</x:v>
      </x:c>
      <x:c r="D247" s="10"/>
      <x:c r="E247" s="4" t="s">
        <x:v>12</x:v>
      </x:c>
      <x:c r="F247" s="4" t="n">
        <x:v>1</x:v>
      </x:c>
      <x:c r="G247" s="5" t="s">
        <x:v>45</x:v>
      </x:c>
      <x:c r="H247" s="4" t="s">
        <x:v>46</x:v>
      </x:c>
      <x:c r="I247" s="10"/>
      <x:c r="J247" s="10"/>
      <x:c r="K247" s="10"/>
      <x:c r="L247" s="10"/>
      <x:c r="M247" s="1" t="str">
        <x:f aca="0">C247&amp;"|"&amp;E247&amp;"|"&amp;F247&amp;"|"&amp;G247</x:f>
        <x:v>RC|V03|1|最近职位头衔</x:v>
      </x:c>
    </x:row>
    <x:row r="248" ht="16.5" hidden="0" customHeight="1">
      <x:c r="A248" s="4" t="str">
        <x:f aca="0">C248&amp;"-"&amp;E248&amp;"-R"&amp;F248</x:f>
        <x:v>RC-V03-R1</x:v>
      </x:c>
      <x:c r="B248" s="10"/>
      <x:c r="C248" s="4" t="str">
        <x:f aca="0">Reference!$B$3</x:f>
        <x:v>RC</x:v>
      </x:c>
      <x:c r="D248" s="10"/>
      <x:c r="E248" s="4" t="s">
        <x:v>12</x:v>
      </x:c>
      <x:c r="F248" s="4" t="n">
        <x:v>1</x:v>
      </x:c>
      <x:c r="G248" s="5" t="s">
        <x:v>47</x:v>
      </x:c>
      <x:c r="H248" s="4" t="s">
        <x:v>48</x:v>
      </x:c>
      <x:c r="I248" s="10"/>
      <x:c r="J248" s="10"/>
      <x:c r="K248" s="10"/>
      <x:c r="L248" s="10"/>
      <x:c r="M248" s="1" t="str">
        <x:f aca="0">C248&amp;"|"&amp;E248&amp;"|"&amp;F248&amp;"|"&amp;G248</x:f>
        <x:v>RC|V03|1|工作经历条数</x:v>
      </x:c>
    </x:row>
    <x:row r="249" ht="16.5" hidden="0" customHeight="1">
      <x:c r="A249" s="4" t="str">
        <x:f aca="0">C249&amp;"-"&amp;E249&amp;"-R"&amp;F249</x:f>
        <x:v>RC-V03-R1</x:v>
      </x:c>
      <x:c r="B249" s="10"/>
      <x:c r="C249" s="4" t="str">
        <x:f aca="0">Reference!$B$3</x:f>
        <x:v>RC</x:v>
      </x:c>
      <x:c r="D249" s="10"/>
      <x:c r="E249" s="4" t="s">
        <x:v>12</x:v>
      </x:c>
      <x:c r="F249" s="4" t="n">
        <x:v>1</x:v>
      </x:c>
      <x:c r="G249" s="5" t="s">
        <x:v>49</x:v>
      </x:c>
      <x:c r="H249" s="4" t="s">
        <x:v>50</x:v>
      </x:c>
      <x:c r="I249" s="10"/>
      <x:c r="J249" s="10"/>
      <x:c r="K249" s="10"/>
      <x:c r="L249" s="10"/>
      <x:c r="M249" s="1" t="str">
        <x:f aca="0">C249&amp;"|"&amp;E249&amp;"|"&amp;F249&amp;"|"&amp;G249</x:f>
        <x:v>RC|V03|1|起止日期</x:v>
      </x:c>
    </x:row>
    <x:row r="250" ht="16.5" hidden="0" customHeight="1">
      <x:c r="A250" s="4" t="str">
        <x:f aca="0">C250&amp;"-"&amp;E250&amp;"-R"&amp;F250</x:f>
        <x:v>RC-V03-R1</x:v>
      </x:c>
      <x:c r="B250" s="10"/>
      <x:c r="C250" s="4" t="str">
        <x:f aca="0">Reference!$B$3</x:f>
        <x:v>RC</x:v>
      </x:c>
      <x:c r="D250" s="10"/>
      <x:c r="E250" s="4" t="s">
        <x:v>12</x:v>
      </x:c>
      <x:c r="F250" s="4" t="n">
        <x:v>1</x:v>
      </x:c>
      <x:c r="G250" s="5" t="s">
        <x:v>51</x:v>
      </x:c>
      <x:c r="H250" s="4" t="s">
        <x:v>52</x:v>
      </x:c>
      <x:c r="I250" s="10"/>
      <x:c r="J250" s="10"/>
      <x:c r="K250" s="10"/>
      <x:c r="L250" s="10"/>
      <x:c r="M250" s="1" t="str">
        <x:f aca="0">C250&amp;"|"&amp;E250&amp;"|"&amp;F250&amp;"|"&amp;G250</x:f>
        <x:v>RC|V03|1|教育背景</x:v>
      </x:c>
    </x:row>
    <x:row r="251" ht="16.5" hidden="0" customHeight="1">
      <x:c r="A251" s="4" t="str">
        <x:f aca="0">C251&amp;"-"&amp;E251&amp;"-R"&amp;F251</x:f>
        <x:v>RC-V03-R1</x:v>
      </x:c>
      <x:c r="B251" s="10"/>
      <x:c r="C251" s="4" t="str">
        <x:f aca="0">Reference!$B$3</x:f>
        <x:v>RC</x:v>
      </x:c>
      <x:c r="D251" s="10"/>
      <x:c r="E251" s="4" t="s">
        <x:v>12</x:v>
      </x:c>
      <x:c r="F251" s="4" t="n">
        <x:v>1</x:v>
      </x:c>
      <x:c r="G251" s="5" t="s">
        <x:v>53</x:v>
      </x:c>
      <x:c r="H251" s="4" t="s">
        <x:v>54</x:v>
      </x:c>
      <x:c r="I251" s="10"/>
      <x:c r="J251" s="10"/>
      <x:c r="K251" s="10"/>
      <x:c r="L251" s="10"/>
      <x:c r="M251" s="1" t="str">
        <x:f aca="0">C251&amp;"|"&amp;E251&amp;"|"&amp;F251&amp;"|"&amp;G251</x:f>
        <x:v>RC|V03|1|技能识别数量</x:v>
      </x:c>
    </x:row>
    <x:row r="252" ht="16.5" hidden="0" customHeight="1">
      <x:c r="A252" s="4" t="str">
        <x:f aca="0">C252&amp;"-"&amp;E252&amp;"-R"&amp;F252</x:f>
        <x:v>RC-V03-R2</x:v>
      </x:c>
      <x:c r="B252" s="10"/>
      <x:c r="C252" s="4" t="str">
        <x:f aca="0">Reference!$B$3</x:f>
        <x:v>RC</x:v>
      </x:c>
      <x:c r="D252" s="10"/>
      <x:c r="E252" s="4" t="s">
        <x:v>12</x:v>
      </x:c>
      <x:c r="F252" s="4" t="n">
        <x:v>2</x:v>
      </x:c>
      <x:c r="G252" s="5" t="s">
        <x:v>35</x:v>
      </x:c>
      <x:c r="H252" s="4" t="s">
        <x:v>36</x:v>
      </x:c>
      <x:c r="I252" s="10"/>
      <x:c r="J252" s="10"/>
      <x:c r="K252" s="10"/>
      <x:c r="L252" s="10"/>
      <x:c r="M252" s="1" t="str">
        <x:f aca="0">C252&amp;"|"&amp;E252&amp;"|"&amp;F252&amp;"|"&amp;G252</x:f>
        <x:v>RC|V03|2|姓名</x:v>
      </x:c>
    </x:row>
    <x:row r="253" ht="16.5" hidden="0" customHeight="1">
      <x:c r="A253" s="4" t="str">
        <x:f aca="0">C253&amp;"-"&amp;E253&amp;"-R"&amp;F253</x:f>
        <x:v>RC-V03-R2</x:v>
      </x:c>
      <x:c r="B253" s="10"/>
      <x:c r="C253" s="4" t="str">
        <x:f aca="0">Reference!$B$3</x:f>
        <x:v>RC</x:v>
      </x:c>
      <x:c r="D253" s="10"/>
      <x:c r="E253" s="4" t="s">
        <x:v>12</x:v>
      </x:c>
      <x:c r="F253" s="4" t="n">
        <x:v>2</x:v>
      </x:c>
      <x:c r="G253" s="5" t="s">
        <x:v>37</x:v>
      </x:c>
      <x:c r="H253" s="4" t="s">
        <x:v>38</x:v>
      </x:c>
      <x:c r="I253" s="10"/>
      <x:c r="J253" s="10"/>
      <x:c r="K253" s="10"/>
      <x:c r="L253" s="10"/>
      <x:c r="M253" s="1" t="str">
        <x:f aca="0">C253&amp;"|"&amp;E253&amp;"|"&amp;F253&amp;"|"&amp;G253</x:f>
        <x:v>RC|V03|2|邮箱</x:v>
      </x:c>
    </x:row>
    <x:row r="254" ht="16.5" hidden="0" customHeight="1">
      <x:c r="A254" s="4" t="str">
        <x:f aca="0">C254&amp;"-"&amp;E254&amp;"-R"&amp;F254</x:f>
        <x:v>RC-V03-R2</x:v>
      </x:c>
      <x:c r="B254" s="10"/>
      <x:c r="C254" s="4" t="str">
        <x:f aca="0">Reference!$B$3</x:f>
        <x:v>RC</x:v>
      </x:c>
      <x:c r="D254" s="10"/>
      <x:c r="E254" s="4" t="s">
        <x:v>12</x:v>
      </x:c>
      <x:c r="F254" s="4" t="n">
        <x:v>2</x:v>
      </x:c>
      <x:c r="G254" s="5" t="s">
        <x:v>39</x:v>
      </x:c>
      <x:c r="H254" s="4" t="s">
        <x:v>40</x:v>
      </x:c>
      <x:c r="I254" s="10"/>
      <x:c r="J254" s="10"/>
      <x:c r="K254" s="10"/>
      <x:c r="L254" s="10"/>
      <x:c r="M254" s="1" t="str">
        <x:f aca="0">C254&amp;"|"&amp;E254&amp;"|"&amp;F254&amp;"|"&amp;G254</x:f>
        <x:v>RC|V03|2|电话</x:v>
      </x:c>
    </x:row>
    <x:row r="255" ht="16.5" hidden="0" customHeight="1">
      <x:c r="A255" s="4" t="str">
        <x:f aca="0">C255&amp;"-"&amp;E255&amp;"-R"&amp;F255</x:f>
        <x:v>RC-V03-R2</x:v>
      </x:c>
      <x:c r="B255" s="10"/>
      <x:c r="C255" s="4" t="str">
        <x:f aca="0">Reference!$B$3</x:f>
        <x:v>RC</x:v>
      </x:c>
      <x:c r="D255" s="10"/>
      <x:c r="E255" s="4" t="s">
        <x:v>12</x:v>
      </x:c>
      <x:c r="F255" s="4" t="n">
        <x:v>2</x:v>
      </x:c>
      <x:c r="G255" s="5" t="s">
        <x:v>41</x:v>
      </x:c>
      <x:c r="H255" s="4" t="s">
        <x:v>42</x:v>
      </x:c>
      <x:c r="I255" s="10"/>
      <x:c r="J255" s="10"/>
      <x:c r="K255" s="10"/>
      <x:c r="L255" s="10"/>
      <x:c r="M255" s="1" t="str">
        <x:f aca="0">C255&amp;"|"&amp;E255&amp;"|"&amp;F255&amp;"|"&amp;G255</x:f>
        <x:v>RC|V03|2|城市</x:v>
      </x:c>
    </x:row>
    <x:row r="256" ht="16.5" hidden="0" customHeight="1">
      <x:c r="A256" s="4" t="str">
        <x:f aca="0">C256&amp;"-"&amp;E256&amp;"-R"&amp;F256</x:f>
        <x:v>RC-V03-R2</x:v>
      </x:c>
      <x:c r="B256" s="10"/>
      <x:c r="C256" s="4" t="str">
        <x:f aca="0">Reference!$B$3</x:f>
        <x:v>RC</x:v>
      </x:c>
      <x:c r="D256" s="10"/>
      <x:c r="E256" s="4" t="s">
        <x:v>12</x:v>
      </x:c>
      <x:c r="F256" s="4" t="n">
        <x:v>2</x:v>
      </x:c>
      <x:c r="G256" s="5" t="s">
        <x:v>43</x:v>
      </x:c>
      <x:c r="H256" s="4" t="s">
        <x:v>44</x:v>
      </x:c>
      <x:c r="I256" s="10"/>
      <x:c r="J256" s="10"/>
      <x:c r="K256" s="10"/>
      <x:c r="L256" s="10"/>
      <x:c r="M256" s="1" t="str">
        <x:f aca="0">C256&amp;"|"&amp;E256&amp;"|"&amp;F256&amp;"|"&amp;G256</x:f>
        <x:v>RC|V03|2|最近公司</x:v>
      </x:c>
    </x:row>
    <x:row r="257" ht="16.5" hidden="0" customHeight="1">
      <x:c r="A257" s="4" t="str">
        <x:f aca="0">C257&amp;"-"&amp;E257&amp;"-R"&amp;F257</x:f>
        <x:v>RC-V03-R2</x:v>
      </x:c>
      <x:c r="B257" s="10"/>
      <x:c r="C257" s="4" t="str">
        <x:f aca="0">Reference!$B$3</x:f>
        <x:v>RC</x:v>
      </x:c>
      <x:c r="D257" s="10"/>
      <x:c r="E257" s="4" t="s">
        <x:v>12</x:v>
      </x:c>
      <x:c r="F257" s="4" t="n">
        <x:v>2</x:v>
      </x:c>
      <x:c r="G257" s="5" t="s">
        <x:v>45</x:v>
      </x:c>
      <x:c r="H257" s="4" t="s">
        <x:v>46</x:v>
      </x:c>
      <x:c r="I257" s="10"/>
      <x:c r="J257" s="10"/>
      <x:c r="K257" s="10"/>
      <x:c r="L257" s="10"/>
      <x:c r="M257" s="1" t="str">
        <x:f aca="0">C257&amp;"|"&amp;E257&amp;"|"&amp;F257&amp;"|"&amp;G257</x:f>
        <x:v>RC|V03|2|最近职位头衔</x:v>
      </x:c>
    </x:row>
    <x:row r="258" ht="16.5" hidden="0" customHeight="1">
      <x:c r="A258" s="4" t="str">
        <x:f aca="0">C258&amp;"-"&amp;E258&amp;"-R"&amp;F258</x:f>
        <x:v>RC-V03-R2</x:v>
      </x:c>
      <x:c r="B258" s="10"/>
      <x:c r="C258" s="4" t="str">
        <x:f aca="0">Reference!$B$3</x:f>
        <x:v>RC</x:v>
      </x:c>
      <x:c r="D258" s="10"/>
      <x:c r="E258" s="4" t="s">
        <x:v>12</x:v>
      </x:c>
      <x:c r="F258" s="4" t="n">
        <x:v>2</x:v>
      </x:c>
      <x:c r="G258" s="5" t="s">
        <x:v>47</x:v>
      </x:c>
      <x:c r="H258" s="4" t="s">
        <x:v>48</x:v>
      </x:c>
      <x:c r="I258" s="10"/>
      <x:c r="J258" s="10"/>
      <x:c r="K258" s="10"/>
      <x:c r="L258" s="10"/>
      <x:c r="M258" s="1" t="str">
        <x:f aca="0">C258&amp;"|"&amp;E258&amp;"|"&amp;F258&amp;"|"&amp;G258</x:f>
        <x:v>RC|V03|2|工作经历条数</x:v>
      </x:c>
    </x:row>
    <x:row r="259" ht="16.5" hidden="0" customHeight="1">
      <x:c r="A259" s="4" t="str">
        <x:f aca="0">C259&amp;"-"&amp;E259&amp;"-R"&amp;F259</x:f>
        <x:v>RC-V03-R2</x:v>
      </x:c>
      <x:c r="B259" s="10"/>
      <x:c r="C259" s="4" t="str">
        <x:f aca="0">Reference!$B$3</x:f>
        <x:v>RC</x:v>
      </x:c>
      <x:c r="D259" s="10"/>
      <x:c r="E259" s="4" t="s">
        <x:v>12</x:v>
      </x:c>
      <x:c r="F259" s="4" t="n">
        <x:v>2</x:v>
      </x:c>
      <x:c r="G259" s="5" t="s">
        <x:v>49</x:v>
      </x:c>
      <x:c r="H259" s="4" t="s">
        <x:v>50</x:v>
      </x:c>
      <x:c r="I259" s="10"/>
      <x:c r="J259" s="10"/>
      <x:c r="K259" s="10"/>
      <x:c r="L259" s="10"/>
      <x:c r="M259" s="1" t="str">
        <x:f aca="0">C259&amp;"|"&amp;E259&amp;"|"&amp;F259&amp;"|"&amp;G259</x:f>
        <x:v>RC|V03|2|起止日期</x:v>
      </x:c>
    </x:row>
    <x:row r="260" ht="16.5" hidden="0" customHeight="1">
      <x:c r="A260" s="4" t="str">
        <x:f aca="0">C260&amp;"-"&amp;E260&amp;"-R"&amp;F260</x:f>
        <x:v>RC-V03-R2</x:v>
      </x:c>
      <x:c r="B260" s="10"/>
      <x:c r="C260" s="4" t="str">
        <x:f aca="0">Reference!$B$3</x:f>
        <x:v>RC</x:v>
      </x:c>
      <x:c r="D260" s="10"/>
      <x:c r="E260" s="4" t="s">
        <x:v>12</x:v>
      </x:c>
      <x:c r="F260" s="4" t="n">
        <x:v>2</x:v>
      </x:c>
      <x:c r="G260" s="5" t="s">
        <x:v>51</x:v>
      </x:c>
      <x:c r="H260" s="4" t="s">
        <x:v>52</x:v>
      </x:c>
      <x:c r="I260" s="10"/>
      <x:c r="J260" s="10"/>
      <x:c r="K260" s="10"/>
      <x:c r="L260" s="10"/>
      <x:c r="M260" s="1" t="str">
        <x:f aca="0">C260&amp;"|"&amp;E260&amp;"|"&amp;F260&amp;"|"&amp;G260</x:f>
        <x:v>RC|V03|2|教育背景</x:v>
      </x:c>
    </x:row>
    <x:row r="261" ht="16.5" hidden="0" customHeight="1">
      <x:c r="A261" s="4" t="str">
        <x:f aca="0">C261&amp;"-"&amp;E261&amp;"-R"&amp;F261</x:f>
        <x:v>RC-V03-R2</x:v>
      </x:c>
      <x:c r="B261" s="10"/>
      <x:c r="C261" s="4" t="str">
        <x:f aca="0">Reference!$B$3</x:f>
        <x:v>RC</x:v>
      </x:c>
      <x:c r="D261" s="10"/>
      <x:c r="E261" s="4" t="s">
        <x:v>12</x:v>
      </x:c>
      <x:c r="F261" s="4" t="n">
        <x:v>2</x:v>
      </x:c>
      <x:c r="G261" s="5" t="s">
        <x:v>53</x:v>
      </x:c>
      <x:c r="H261" s="4" t="s">
        <x:v>54</x:v>
      </x:c>
      <x:c r="I261" s="10"/>
      <x:c r="J261" s="10"/>
      <x:c r="K261" s="10"/>
      <x:c r="L261" s="10"/>
      <x:c r="M261" s="1" t="str">
        <x:f aca="0">C261&amp;"|"&amp;E261&amp;"|"&amp;F261&amp;"|"&amp;G261</x:f>
        <x:v>RC|V03|2|技能识别数量</x:v>
      </x:c>
    </x:row>
    <x:row r="262" ht="16.5" hidden="0" customHeight="1">
      <x:c r="A262" s="4" t="str">
        <x:f aca="0">C262&amp;"-"&amp;E262&amp;"-R"&amp;F262</x:f>
        <x:v>RC-V03-R3</x:v>
      </x:c>
      <x:c r="B262" s="10"/>
      <x:c r="C262" s="4" t="str">
        <x:f aca="0">Reference!$B$3</x:f>
        <x:v>RC</x:v>
      </x:c>
      <x:c r="D262" s="10"/>
      <x:c r="E262" s="4" t="s">
        <x:v>12</x:v>
      </x:c>
      <x:c r="F262" s="4" t="n">
        <x:v>3</x:v>
      </x:c>
      <x:c r="G262" s="5" t="s">
        <x:v>35</x:v>
      </x:c>
      <x:c r="H262" s="4" t="s">
        <x:v>36</x:v>
      </x:c>
      <x:c r="I262" s="10"/>
      <x:c r="J262" s="10"/>
      <x:c r="K262" s="10"/>
      <x:c r="L262" s="10"/>
      <x:c r="M262" s="1" t="str">
        <x:f aca="0">C262&amp;"|"&amp;E262&amp;"|"&amp;F262&amp;"|"&amp;G262</x:f>
        <x:v>RC|V03|3|姓名</x:v>
      </x:c>
    </x:row>
    <x:row r="263" ht="16.5" hidden="0" customHeight="1">
      <x:c r="A263" s="4" t="str">
        <x:f aca="0">C263&amp;"-"&amp;E263&amp;"-R"&amp;F263</x:f>
        <x:v>RC-V03-R3</x:v>
      </x:c>
      <x:c r="B263" s="10"/>
      <x:c r="C263" s="4" t="str">
        <x:f aca="0">Reference!$B$3</x:f>
        <x:v>RC</x:v>
      </x:c>
      <x:c r="D263" s="10"/>
      <x:c r="E263" s="4" t="s">
        <x:v>12</x:v>
      </x:c>
      <x:c r="F263" s="4" t="n">
        <x:v>3</x:v>
      </x:c>
      <x:c r="G263" s="5" t="s">
        <x:v>37</x:v>
      </x:c>
      <x:c r="H263" s="4" t="s">
        <x:v>38</x:v>
      </x:c>
      <x:c r="I263" s="10"/>
      <x:c r="J263" s="10"/>
      <x:c r="K263" s="10"/>
      <x:c r="L263" s="10"/>
      <x:c r="M263" s="1" t="str">
        <x:f aca="0">C263&amp;"|"&amp;E263&amp;"|"&amp;F263&amp;"|"&amp;G263</x:f>
        <x:v>RC|V03|3|邮箱</x:v>
      </x:c>
    </x:row>
    <x:row r="264" ht="16.5" hidden="0" customHeight="1">
      <x:c r="A264" s="4" t="str">
        <x:f aca="0">C264&amp;"-"&amp;E264&amp;"-R"&amp;F264</x:f>
        <x:v>RC-V03-R3</x:v>
      </x:c>
      <x:c r="B264" s="10"/>
      <x:c r="C264" s="4" t="str">
        <x:f aca="0">Reference!$B$3</x:f>
        <x:v>RC</x:v>
      </x:c>
      <x:c r="D264" s="10"/>
      <x:c r="E264" s="4" t="s">
        <x:v>12</x:v>
      </x:c>
      <x:c r="F264" s="4" t="n">
        <x:v>3</x:v>
      </x:c>
      <x:c r="G264" s="5" t="s">
        <x:v>39</x:v>
      </x:c>
      <x:c r="H264" s="4" t="s">
        <x:v>40</x:v>
      </x:c>
      <x:c r="I264" s="10"/>
      <x:c r="J264" s="10"/>
      <x:c r="K264" s="10"/>
      <x:c r="L264" s="10"/>
      <x:c r="M264" s="1" t="str">
        <x:f aca="0">C264&amp;"|"&amp;E264&amp;"|"&amp;F264&amp;"|"&amp;G264</x:f>
        <x:v>RC|V03|3|电话</x:v>
      </x:c>
    </x:row>
    <x:row r="265" ht="16.5" hidden="0" customHeight="1">
      <x:c r="A265" s="4" t="str">
        <x:f aca="0">C265&amp;"-"&amp;E265&amp;"-R"&amp;F265</x:f>
        <x:v>RC-V03-R3</x:v>
      </x:c>
      <x:c r="B265" s="10"/>
      <x:c r="C265" s="4" t="str">
        <x:f aca="0">Reference!$B$3</x:f>
        <x:v>RC</x:v>
      </x:c>
      <x:c r="D265" s="10"/>
      <x:c r="E265" s="4" t="s">
        <x:v>12</x:v>
      </x:c>
      <x:c r="F265" s="4" t="n">
        <x:v>3</x:v>
      </x:c>
      <x:c r="G265" s="5" t="s">
        <x:v>41</x:v>
      </x:c>
      <x:c r="H265" s="4" t="s">
        <x:v>42</x:v>
      </x:c>
      <x:c r="I265" s="10"/>
      <x:c r="J265" s="10"/>
      <x:c r="K265" s="10"/>
      <x:c r="L265" s="10"/>
      <x:c r="M265" s="1" t="str">
        <x:f aca="0">C265&amp;"|"&amp;E265&amp;"|"&amp;F265&amp;"|"&amp;G265</x:f>
        <x:v>RC|V03|3|城市</x:v>
      </x:c>
    </x:row>
    <x:row r="266" ht="16.5" hidden="0" customHeight="1">
      <x:c r="A266" s="4" t="str">
        <x:f aca="0">C266&amp;"-"&amp;E266&amp;"-R"&amp;F266</x:f>
        <x:v>RC-V03-R3</x:v>
      </x:c>
      <x:c r="B266" s="10"/>
      <x:c r="C266" s="4" t="str">
        <x:f aca="0">Reference!$B$3</x:f>
        <x:v>RC</x:v>
      </x:c>
      <x:c r="D266" s="10"/>
      <x:c r="E266" s="4" t="s">
        <x:v>12</x:v>
      </x:c>
      <x:c r="F266" s="4" t="n">
        <x:v>3</x:v>
      </x:c>
      <x:c r="G266" s="5" t="s">
        <x:v>43</x:v>
      </x:c>
      <x:c r="H266" s="4" t="s">
        <x:v>44</x:v>
      </x:c>
      <x:c r="I266" s="10"/>
      <x:c r="J266" s="10"/>
      <x:c r="K266" s="10"/>
      <x:c r="L266" s="10"/>
      <x:c r="M266" s="1" t="str">
        <x:f aca="0">C266&amp;"|"&amp;E266&amp;"|"&amp;F266&amp;"|"&amp;G266</x:f>
        <x:v>RC|V03|3|最近公司</x:v>
      </x:c>
    </x:row>
    <x:row r="267" ht="16.5" hidden="0" customHeight="1">
      <x:c r="A267" s="4" t="str">
        <x:f aca="0">C267&amp;"-"&amp;E267&amp;"-R"&amp;F267</x:f>
        <x:v>RC-V03-R3</x:v>
      </x:c>
      <x:c r="B267" s="10"/>
      <x:c r="C267" s="4" t="str">
        <x:f aca="0">Reference!$B$3</x:f>
        <x:v>RC</x:v>
      </x:c>
      <x:c r="D267" s="10"/>
      <x:c r="E267" s="4" t="s">
        <x:v>12</x:v>
      </x:c>
      <x:c r="F267" s="4" t="n">
        <x:v>3</x:v>
      </x:c>
      <x:c r="G267" s="5" t="s">
        <x:v>45</x:v>
      </x:c>
      <x:c r="H267" s="4" t="s">
        <x:v>46</x:v>
      </x:c>
      <x:c r="I267" s="10"/>
      <x:c r="J267" s="10"/>
      <x:c r="K267" s="10"/>
      <x:c r="L267" s="10"/>
      <x:c r="M267" s="1" t="str">
        <x:f aca="0">C267&amp;"|"&amp;E267&amp;"|"&amp;F267&amp;"|"&amp;G267</x:f>
        <x:v>RC|V03|3|最近职位头衔</x:v>
      </x:c>
    </x:row>
    <x:row r="268" ht="16.5" hidden="0" customHeight="1">
      <x:c r="A268" s="4" t="str">
        <x:f aca="0">C268&amp;"-"&amp;E268&amp;"-R"&amp;F268</x:f>
        <x:v>RC-V03-R3</x:v>
      </x:c>
      <x:c r="B268" s="10"/>
      <x:c r="C268" s="4" t="str">
        <x:f aca="0">Reference!$B$3</x:f>
        <x:v>RC</x:v>
      </x:c>
      <x:c r="D268" s="10"/>
      <x:c r="E268" s="4" t="s">
        <x:v>12</x:v>
      </x:c>
      <x:c r="F268" s="4" t="n">
        <x:v>3</x:v>
      </x:c>
      <x:c r="G268" s="5" t="s">
        <x:v>47</x:v>
      </x:c>
      <x:c r="H268" s="4" t="s">
        <x:v>48</x:v>
      </x:c>
      <x:c r="I268" s="10"/>
      <x:c r="J268" s="10"/>
      <x:c r="K268" s="10"/>
      <x:c r="L268" s="10"/>
      <x:c r="M268" s="1" t="str">
        <x:f aca="0">C268&amp;"|"&amp;E268&amp;"|"&amp;F268&amp;"|"&amp;G268</x:f>
        <x:v>RC|V03|3|工作经历条数</x:v>
      </x:c>
    </x:row>
    <x:row r="269" ht="16.5" hidden="0" customHeight="1">
      <x:c r="A269" s="4" t="str">
        <x:f aca="0">C269&amp;"-"&amp;E269&amp;"-R"&amp;F269</x:f>
        <x:v>RC-V03-R3</x:v>
      </x:c>
      <x:c r="B269" s="10"/>
      <x:c r="C269" s="4" t="str">
        <x:f aca="0">Reference!$B$3</x:f>
        <x:v>RC</x:v>
      </x:c>
      <x:c r="D269" s="10"/>
      <x:c r="E269" s="4" t="s">
        <x:v>12</x:v>
      </x:c>
      <x:c r="F269" s="4" t="n">
        <x:v>3</x:v>
      </x:c>
      <x:c r="G269" s="5" t="s">
        <x:v>49</x:v>
      </x:c>
      <x:c r="H269" s="4" t="s">
        <x:v>50</x:v>
      </x:c>
      <x:c r="I269" s="10"/>
      <x:c r="J269" s="10"/>
      <x:c r="K269" s="10"/>
      <x:c r="L269" s="10"/>
      <x:c r="M269" s="1" t="str">
        <x:f aca="0">C269&amp;"|"&amp;E269&amp;"|"&amp;F269&amp;"|"&amp;G269</x:f>
        <x:v>RC|V03|3|起止日期</x:v>
      </x:c>
    </x:row>
    <x:row r="270" ht="16.5" hidden="0" customHeight="1">
      <x:c r="A270" s="4" t="str">
        <x:f aca="0">C270&amp;"-"&amp;E270&amp;"-R"&amp;F270</x:f>
        <x:v>RC-V03-R3</x:v>
      </x:c>
      <x:c r="B270" s="10"/>
      <x:c r="C270" s="4" t="str">
        <x:f aca="0">Reference!$B$3</x:f>
        <x:v>RC</x:v>
      </x:c>
      <x:c r="D270" s="10"/>
      <x:c r="E270" s="4" t="s">
        <x:v>12</x:v>
      </x:c>
      <x:c r="F270" s="4" t="n">
        <x:v>3</x:v>
      </x:c>
      <x:c r="G270" s="5" t="s">
        <x:v>51</x:v>
      </x:c>
      <x:c r="H270" s="4" t="s">
        <x:v>52</x:v>
      </x:c>
      <x:c r="I270" s="10"/>
      <x:c r="J270" s="10"/>
      <x:c r="K270" s="10"/>
      <x:c r="L270" s="10"/>
      <x:c r="M270" s="1" t="str">
        <x:f aca="0">C270&amp;"|"&amp;E270&amp;"|"&amp;F270&amp;"|"&amp;G270</x:f>
        <x:v>RC|V03|3|教育背景</x:v>
      </x:c>
    </x:row>
    <x:row r="271" ht="16.5" hidden="0" customHeight="1">
      <x:c r="A271" s="4" t="str">
        <x:f aca="0">C271&amp;"-"&amp;E271&amp;"-R"&amp;F271</x:f>
        <x:v>RC-V03-R3</x:v>
      </x:c>
      <x:c r="B271" s="10"/>
      <x:c r="C271" s="4" t="str">
        <x:f aca="0">Reference!$B$3</x:f>
        <x:v>RC</x:v>
      </x:c>
      <x:c r="D271" s="10"/>
      <x:c r="E271" s="4" t="s">
        <x:v>12</x:v>
      </x:c>
      <x:c r="F271" s="4" t="n">
        <x:v>3</x:v>
      </x:c>
      <x:c r="G271" s="5" t="s">
        <x:v>53</x:v>
      </x:c>
      <x:c r="H271" s="4" t="s">
        <x:v>54</x:v>
      </x:c>
      <x:c r="I271" s="10"/>
      <x:c r="J271" s="10"/>
      <x:c r="K271" s="10"/>
      <x:c r="L271" s="10"/>
      <x:c r="M271" s="1" t="str">
        <x:f aca="0">C271&amp;"|"&amp;E271&amp;"|"&amp;F271&amp;"|"&amp;G271</x:f>
        <x:v>RC|V03|3|技能识别数量</x:v>
      </x:c>
    </x:row>
    <x:row r="272" ht="16.5" hidden="0" customHeight="1">
      <x:c r="A272" s="11" t="str">
        <x:f aca="0">C272&amp;"-"&amp;E272&amp;"-R"&amp;F272</x:f>
        <x:v>RC-V04-R1</x:v>
      </x:c>
      <x:c r="B272" s="10"/>
      <x:c r="C272" s="11" t="str">
        <x:f aca="0">Reference!$B$3</x:f>
        <x:v>RC</x:v>
      </x:c>
      <x:c r="D272" s="10"/>
      <x:c r="E272" s="11" t="s">
        <x:v>14</x:v>
      </x:c>
      <x:c r="F272" s="11" t="n">
        <x:v>1</x:v>
      </x:c>
      <x:c r="G272" s="12" t="s">
        <x:v>35</x:v>
      </x:c>
      <x:c r="H272" s="11" t="s">
        <x:v>36</x:v>
      </x:c>
      <x:c r="I272" s="10"/>
      <x:c r="J272" s="10"/>
      <x:c r="K272" s="10"/>
      <x:c r="L272" s="10"/>
      <x:c r="M272" s="1" t="str">
        <x:f aca="0">C272&amp;"|"&amp;E272&amp;"|"&amp;F272&amp;"|"&amp;G272</x:f>
        <x:v>RC|V04|1|姓名</x:v>
      </x:c>
    </x:row>
    <x:row r="273" ht="16.5" hidden="0" customHeight="1">
      <x:c r="A273" s="11" t="str">
        <x:f aca="0">C273&amp;"-"&amp;E273&amp;"-R"&amp;F273</x:f>
        <x:v>RC-V04-R1</x:v>
      </x:c>
      <x:c r="B273" s="10"/>
      <x:c r="C273" s="11" t="str">
        <x:f aca="0">Reference!$B$3</x:f>
        <x:v>RC</x:v>
      </x:c>
      <x:c r="D273" s="10"/>
      <x:c r="E273" s="11" t="s">
        <x:v>14</x:v>
      </x:c>
      <x:c r="F273" s="11" t="n">
        <x:v>1</x:v>
      </x:c>
      <x:c r="G273" s="12" t="s">
        <x:v>37</x:v>
      </x:c>
      <x:c r="H273" s="11" t="s">
        <x:v>38</x:v>
      </x:c>
      <x:c r="I273" s="10"/>
      <x:c r="J273" s="10"/>
      <x:c r="K273" s="10"/>
      <x:c r="L273" s="10"/>
      <x:c r="M273" s="1" t="str">
        <x:f aca="0">C273&amp;"|"&amp;E273&amp;"|"&amp;F273&amp;"|"&amp;G273</x:f>
        <x:v>RC|V04|1|邮箱</x:v>
      </x:c>
    </x:row>
    <x:row r="274" ht="16.5" hidden="0" customHeight="1">
      <x:c r="A274" s="11" t="str">
        <x:f aca="0">C274&amp;"-"&amp;E274&amp;"-R"&amp;F274</x:f>
        <x:v>RC-V04-R1</x:v>
      </x:c>
      <x:c r="B274" s="10"/>
      <x:c r="C274" s="11" t="str">
        <x:f aca="0">Reference!$B$3</x:f>
        <x:v>RC</x:v>
      </x:c>
      <x:c r="D274" s="10"/>
      <x:c r="E274" s="11" t="s">
        <x:v>14</x:v>
      </x:c>
      <x:c r="F274" s="11" t="n">
        <x:v>1</x:v>
      </x:c>
      <x:c r="G274" s="12" t="s">
        <x:v>39</x:v>
      </x:c>
      <x:c r="H274" s="11" t="s">
        <x:v>40</x:v>
      </x:c>
      <x:c r="I274" s="10"/>
      <x:c r="J274" s="10"/>
      <x:c r="K274" s="10"/>
      <x:c r="L274" s="10"/>
      <x:c r="M274" s="1" t="str">
        <x:f aca="0">C274&amp;"|"&amp;E274&amp;"|"&amp;F274&amp;"|"&amp;G274</x:f>
        <x:v>RC|V04|1|电话</x:v>
      </x:c>
    </x:row>
    <x:row r="275" ht="16.5" hidden="0" customHeight="1">
      <x:c r="A275" s="11" t="str">
        <x:f aca="0">C275&amp;"-"&amp;E275&amp;"-R"&amp;F275</x:f>
        <x:v>RC-V04-R1</x:v>
      </x:c>
      <x:c r="B275" s="10"/>
      <x:c r="C275" s="11" t="str">
        <x:f aca="0">Reference!$B$3</x:f>
        <x:v>RC</x:v>
      </x:c>
      <x:c r="D275" s="10"/>
      <x:c r="E275" s="11" t="s">
        <x:v>14</x:v>
      </x:c>
      <x:c r="F275" s="11" t="n">
        <x:v>1</x:v>
      </x:c>
      <x:c r="G275" s="12" t="s">
        <x:v>41</x:v>
      </x:c>
      <x:c r="H275" s="11" t="s">
        <x:v>42</x:v>
      </x:c>
      <x:c r="I275" s="10"/>
      <x:c r="J275" s="10"/>
      <x:c r="K275" s="10"/>
      <x:c r="L275" s="10"/>
      <x:c r="M275" s="1" t="str">
        <x:f aca="0">C275&amp;"|"&amp;E275&amp;"|"&amp;F275&amp;"|"&amp;G275</x:f>
        <x:v>RC|V04|1|城市</x:v>
      </x:c>
    </x:row>
    <x:row r="276" ht="16.5" hidden="0" customHeight="1">
      <x:c r="A276" s="11" t="str">
        <x:f aca="0">C276&amp;"-"&amp;E276&amp;"-R"&amp;F276</x:f>
        <x:v>RC-V04-R1</x:v>
      </x:c>
      <x:c r="B276" s="10"/>
      <x:c r="C276" s="11" t="str">
        <x:f aca="0">Reference!$B$3</x:f>
        <x:v>RC</x:v>
      </x:c>
      <x:c r="D276" s="10"/>
      <x:c r="E276" s="11" t="s">
        <x:v>14</x:v>
      </x:c>
      <x:c r="F276" s="11" t="n">
        <x:v>1</x:v>
      </x:c>
      <x:c r="G276" s="12" t="s">
        <x:v>43</x:v>
      </x:c>
      <x:c r="H276" s="11" t="s">
        <x:v>44</x:v>
      </x:c>
      <x:c r="I276" s="10"/>
      <x:c r="J276" s="10"/>
      <x:c r="K276" s="10"/>
      <x:c r="L276" s="10"/>
      <x:c r="M276" s="1" t="str">
        <x:f aca="0">C276&amp;"|"&amp;E276&amp;"|"&amp;F276&amp;"|"&amp;G276</x:f>
        <x:v>RC|V04|1|最近公司</x:v>
      </x:c>
    </x:row>
    <x:row r="277" ht="16.5" hidden="0" customHeight="1">
      <x:c r="A277" s="11" t="str">
        <x:f aca="0">C277&amp;"-"&amp;E277&amp;"-R"&amp;F277</x:f>
        <x:v>RC-V04-R1</x:v>
      </x:c>
      <x:c r="B277" s="10"/>
      <x:c r="C277" s="11" t="str">
        <x:f aca="0">Reference!$B$3</x:f>
        <x:v>RC</x:v>
      </x:c>
      <x:c r="D277" s="10"/>
      <x:c r="E277" s="11" t="s">
        <x:v>14</x:v>
      </x:c>
      <x:c r="F277" s="11" t="n">
        <x:v>1</x:v>
      </x:c>
      <x:c r="G277" s="12" t="s">
        <x:v>45</x:v>
      </x:c>
      <x:c r="H277" s="11" t="s">
        <x:v>46</x:v>
      </x:c>
      <x:c r="I277" s="10"/>
      <x:c r="J277" s="10"/>
      <x:c r="K277" s="10"/>
      <x:c r="L277" s="10"/>
      <x:c r="M277" s="1" t="str">
        <x:f aca="0">C277&amp;"|"&amp;E277&amp;"|"&amp;F277&amp;"|"&amp;G277</x:f>
        <x:v>RC|V04|1|最近职位头衔</x:v>
      </x:c>
    </x:row>
    <x:row r="278" ht="16.5" hidden="0" customHeight="1">
      <x:c r="A278" s="11" t="str">
        <x:f aca="0">C278&amp;"-"&amp;E278&amp;"-R"&amp;F278</x:f>
        <x:v>RC-V04-R1</x:v>
      </x:c>
      <x:c r="B278" s="10"/>
      <x:c r="C278" s="11" t="str">
        <x:f aca="0">Reference!$B$3</x:f>
        <x:v>RC</x:v>
      </x:c>
      <x:c r="D278" s="10"/>
      <x:c r="E278" s="11" t="s">
        <x:v>14</x:v>
      </x:c>
      <x:c r="F278" s="11" t="n">
        <x:v>1</x:v>
      </x:c>
      <x:c r="G278" s="12" t="s">
        <x:v>47</x:v>
      </x:c>
      <x:c r="H278" s="11" t="s">
        <x:v>48</x:v>
      </x:c>
      <x:c r="I278" s="10"/>
      <x:c r="J278" s="10"/>
      <x:c r="K278" s="10"/>
      <x:c r="L278" s="10"/>
      <x:c r="M278" s="1" t="str">
        <x:f aca="0">C278&amp;"|"&amp;E278&amp;"|"&amp;F278&amp;"|"&amp;G278</x:f>
        <x:v>RC|V04|1|工作经历条数</x:v>
      </x:c>
    </x:row>
    <x:row r="279" ht="16.5" hidden="0" customHeight="1">
      <x:c r="A279" s="11" t="str">
        <x:f aca="0">C279&amp;"-"&amp;E279&amp;"-R"&amp;F279</x:f>
        <x:v>RC-V04-R1</x:v>
      </x:c>
      <x:c r="B279" s="10"/>
      <x:c r="C279" s="11" t="str">
        <x:f aca="0">Reference!$B$3</x:f>
        <x:v>RC</x:v>
      </x:c>
      <x:c r="D279" s="10"/>
      <x:c r="E279" s="11" t="s">
        <x:v>14</x:v>
      </x:c>
      <x:c r="F279" s="11" t="n">
        <x:v>1</x:v>
      </x:c>
      <x:c r="G279" s="12" t="s">
        <x:v>49</x:v>
      </x:c>
      <x:c r="H279" s="11" t="s">
        <x:v>50</x:v>
      </x:c>
      <x:c r="I279" s="10"/>
      <x:c r="J279" s="10"/>
      <x:c r="K279" s="10"/>
      <x:c r="L279" s="10"/>
      <x:c r="M279" s="1" t="str">
        <x:f aca="0">C279&amp;"|"&amp;E279&amp;"|"&amp;F279&amp;"|"&amp;G279</x:f>
        <x:v>RC|V04|1|起止日期</x:v>
      </x:c>
    </x:row>
    <x:row r="280" ht="16.5" hidden="0" customHeight="1">
      <x:c r="A280" s="11" t="str">
        <x:f aca="0">C280&amp;"-"&amp;E280&amp;"-R"&amp;F280</x:f>
        <x:v>RC-V04-R1</x:v>
      </x:c>
      <x:c r="B280" s="10"/>
      <x:c r="C280" s="11" t="str">
        <x:f aca="0">Reference!$B$3</x:f>
        <x:v>RC</x:v>
      </x:c>
      <x:c r="D280" s="10"/>
      <x:c r="E280" s="11" t="s">
        <x:v>14</x:v>
      </x:c>
      <x:c r="F280" s="11" t="n">
        <x:v>1</x:v>
      </x:c>
      <x:c r="G280" s="12" t="s">
        <x:v>51</x:v>
      </x:c>
      <x:c r="H280" s="11" t="s">
        <x:v>52</x:v>
      </x:c>
      <x:c r="I280" s="10"/>
      <x:c r="J280" s="10"/>
      <x:c r="K280" s="10"/>
      <x:c r="L280" s="10"/>
      <x:c r="M280" s="1" t="str">
        <x:f aca="0">C280&amp;"|"&amp;E280&amp;"|"&amp;F280&amp;"|"&amp;G280</x:f>
        <x:v>RC|V04|1|教育背景</x:v>
      </x:c>
    </x:row>
    <x:row r="281" ht="16.5" hidden="0" customHeight="1">
      <x:c r="A281" s="11" t="str">
        <x:f aca="0">C281&amp;"-"&amp;E281&amp;"-R"&amp;F281</x:f>
        <x:v>RC-V04-R1</x:v>
      </x:c>
      <x:c r="B281" s="10"/>
      <x:c r="C281" s="11" t="str">
        <x:f aca="0">Reference!$B$3</x:f>
        <x:v>RC</x:v>
      </x:c>
      <x:c r="D281" s="10"/>
      <x:c r="E281" s="11" t="s">
        <x:v>14</x:v>
      </x:c>
      <x:c r="F281" s="11" t="n">
        <x:v>1</x:v>
      </x:c>
      <x:c r="G281" s="12" t="s">
        <x:v>53</x:v>
      </x:c>
      <x:c r="H281" s="11" t="s">
        <x:v>54</x:v>
      </x:c>
      <x:c r="I281" s="10"/>
      <x:c r="J281" s="10"/>
      <x:c r="K281" s="10"/>
      <x:c r="L281" s="10"/>
      <x:c r="M281" s="1" t="str">
        <x:f aca="0">C281&amp;"|"&amp;E281&amp;"|"&amp;F281&amp;"|"&amp;G281</x:f>
        <x:v>RC|V04|1|技能识别数量</x:v>
      </x:c>
    </x:row>
    <x:row r="282" ht="16.5" hidden="0" customHeight="1">
      <x:c r="A282" s="11" t="str">
        <x:f aca="0">C282&amp;"-"&amp;E282&amp;"-R"&amp;F282</x:f>
        <x:v>RC-V04-R2</x:v>
      </x:c>
      <x:c r="B282" s="10"/>
      <x:c r="C282" s="11" t="str">
        <x:f aca="0">Reference!$B$3</x:f>
        <x:v>RC</x:v>
      </x:c>
      <x:c r="D282" s="10"/>
      <x:c r="E282" s="11" t="s">
        <x:v>14</x:v>
      </x:c>
      <x:c r="F282" s="11" t="n">
        <x:v>2</x:v>
      </x:c>
      <x:c r="G282" s="12" t="s">
        <x:v>35</x:v>
      </x:c>
      <x:c r="H282" s="11" t="s">
        <x:v>36</x:v>
      </x:c>
      <x:c r="I282" s="10"/>
      <x:c r="J282" s="10"/>
      <x:c r="K282" s="10"/>
      <x:c r="L282" s="10"/>
      <x:c r="M282" s="1" t="str">
        <x:f aca="0">C282&amp;"|"&amp;E282&amp;"|"&amp;F282&amp;"|"&amp;G282</x:f>
        <x:v>RC|V04|2|姓名</x:v>
      </x:c>
    </x:row>
    <x:row r="283" ht="16.5" hidden="0" customHeight="1">
      <x:c r="A283" s="11" t="str">
        <x:f aca="0">C283&amp;"-"&amp;E283&amp;"-R"&amp;F283</x:f>
        <x:v>RC-V04-R2</x:v>
      </x:c>
      <x:c r="B283" s="10"/>
      <x:c r="C283" s="11" t="str">
        <x:f aca="0">Reference!$B$3</x:f>
        <x:v>RC</x:v>
      </x:c>
      <x:c r="D283" s="10"/>
      <x:c r="E283" s="11" t="s">
        <x:v>14</x:v>
      </x:c>
      <x:c r="F283" s="11" t="n">
        <x:v>2</x:v>
      </x:c>
      <x:c r="G283" s="12" t="s">
        <x:v>37</x:v>
      </x:c>
      <x:c r="H283" s="11" t="s">
        <x:v>38</x:v>
      </x:c>
      <x:c r="I283" s="10"/>
      <x:c r="J283" s="10"/>
      <x:c r="K283" s="10"/>
      <x:c r="L283" s="10"/>
      <x:c r="M283" s="1" t="str">
        <x:f aca="0">C283&amp;"|"&amp;E283&amp;"|"&amp;F283&amp;"|"&amp;G283</x:f>
        <x:v>RC|V04|2|邮箱</x:v>
      </x:c>
    </x:row>
    <x:row r="284" ht="16.5" hidden="0" customHeight="1">
      <x:c r="A284" s="11" t="str">
        <x:f aca="0">C284&amp;"-"&amp;E284&amp;"-R"&amp;F284</x:f>
        <x:v>RC-V04-R2</x:v>
      </x:c>
      <x:c r="B284" s="10"/>
      <x:c r="C284" s="11" t="str">
        <x:f aca="0">Reference!$B$3</x:f>
        <x:v>RC</x:v>
      </x:c>
      <x:c r="D284" s="10"/>
      <x:c r="E284" s="11" t="s">
        <x:v>14</x:v>
      </x:c>
      <x:c r="F284" s="11" t="n">
        <x:v>2</x:v>
      </x:c>
      <x:c r="G284" s="12" t="s">
        <x:v>39</x:v>
      </x:c>
      <x:c r="H284" s="11" t="s">
        <x:v>40</x:v>
      </x:c>
      <x:c r="I284" s="10"/>
      <x:c r="J284" s="10"/>
      <x:c r="K284" s="10"/>
      <x:c r="L284" s="10"/>
      <x:c r="M284" s="1" t="str">
        <x:f aca="0">C284&amp;"|"&amp;E284&amp;"|"&amp;F284&amp;"|"&amp;G284</x:f>
        <x:v>RC|V04|2|电话</x:v>
      </x:c>
    </x:row>
    <x:row r="285" ht="16.5" hidden="0" customHeight="1">
      <x:c r="A285" s="11" t="str">
        <x:f aca="0">C285&amp;"-"&amp;E285&amp;"-R"&amp;F285</x:f>
        <x:v>RC-V04-R2</x:v>
      </x:c>
      <x:c r="B285" s="10"/>
      <x:c r="C285" s="11" t="str">
        <x:f aca="0">Reference!$B$3</x:f>
        <x:v>RC</x:v>
      </x:c>
      <x:c r="D285" s="10"/>
      <x:c r="E285" s="11" t="s">
        <x:v>14</x:v>
      </x:c>
      <x:c r="F285" s="11" t="n">
        <x:v>2</x:v>
      </x:c>
      <x:c r="G285" s="12" t="s">
        <x:v>41</x:v>
      </x:c>
      <x:c r="H285" s="11" t="s">
        <x:v>42</x:v>
      </x:c>
      <x:c r="I285" s="10"/>
      <x:c r="J285" s="10"/>
      <x:c r="K285" s="10"/>
      <x:c r="L285" s="10"/>
      <x:c r="M285" s="1" t="str">
        <x:f aca="0">C285&amp;"|"&amp;E285&amp;"|"&amp;F285&amp;"|"&amp;G285</x:f>
        <x:v>RC|V04|2|城市</x:v>
      </x:c>
    </x:row>
    <x:row r="286" ht="16.5" hidden="0" customHeight="1">
      <x:c r="A286" s="11" t="str">
        <x:f aca="0">C286&amp;"-"&amp;E286&amp;"-R"&amp;F286</x:f>
        <x:v>RC-V04-R2</x:v>
      </x:c>
      <x:c r="B286" s="10"/>
      <x:c r="C286" s="11" t="str">
        <x:f aca="0">Reference!$B$3</x:f>
        <x:v>RC</x:v>
      </x:c>
      <x:c r="D286" s="10"/>
      <x:c r="E286" s="11" t="s">
        <x:v>14</x:v>
      </x:c>
      <x:c r="F286" s="11" t="n">
        <x:v>2</x:v>
      </x:c>
      <x:c r="G286" s="12" t="s">
        <x:v>43</x:v>
      </x:c>
      <x:c r="H286" s="11" t="s">
        <x:v>44</x:v>
      </x:c>
      <x:c r="I286" s="10"/>
      <x:c r="J286" s="10"/>
      <x:c r="K286" s="10"/>
      <x:c r="L286" s="10"/>
      <x:c r="M286" s="1" t="str">
        <x:f aca="0">C286&amp;"|"&amp;E286&amp;"|"&amp;F286&amp;"|"&amp;G286</x:f>
        <x:v>RC|V04|2|最近公司</x:v>
      </x:c>
    </x:row>
    <x:row r="287" ht="16.5" hidden="0" customHeight="1">
      <x:c r="A287" s="11" t="str">
        <x:f aca="0">C287&amp;"-"&amp;E287&amp;"-R"&amp;F287</x:f>
        <x:v>RC-V04-R2</x:v>
      </x:c>
      <x:c r="B287" s="10"/>
      <x:c r="C287" s="11" t="str">
        <x:f aca="0">Reference!$B$3</x:f>
        <x:v>RC</x:v>
      </x:c>
      <x:c r="D287" s="10"/>
      <x:c r="E287" s="11" t="s">
        <x:v>14</x:v>
      </x:c>
      <x:c r="F287" s="11" t="n">
        <x:v>2</x:v>
      </x:c>
      <x:c r="G287" s="12" t="s">
        <x:v>45</x:v>
      </x:c>
      <x:c r="H287" s="11" t="s">
        <x:v>46</x:v>
      </x:c>
      <x:c r="I287" s="10"/>
      <x:c r="J287" s="10"/>
      <x:c r="K287" s="10"/>
      <x:c r="L287" s="10"/>
      <x:c r="M287" s="1" t="str">
        <x:f aca="0">C287&amp;"|"&amp;E287&amp;"|"&amp;F287&amp;"|"&amp;G287</x:f>
        <x:v>RC|V04|2|最近职位头衔</x:v>
      </x:c>
    </x:row>
    <x:row r="288" ht="16.5" hidden="0" customHeight="1">
      <x:c r="A288" s="11" t="str">
        <x:f aca="0">C288&amp;"-"&amp;E288&amp;"-R"&amp;F288</x:f>
        <x:v>RC-V04-R2</x:v>
      </x:c>
      <x:c r="B288" s="10"/>
      <x:c r="C288" s="11" t="str">
        <x:f aca="0">Reference!$B$3</x:f>
        <x:v>RC</x:v>
      </x:c>
      <x:c r="D288" s="10"/>
      <x:c r="E288" s="11" t="s">
        <x:v>14</x:v>
      </x:c>
      <x:c r="F288" s="11" t="n">
        <x:v>2</x:v>
      </x:c>
      <x:c r="G288" s="12" t="s">
        <x:v>47</x:v>
      </x:c>
      <x:c r="H288" s="11" t="s">
        <x:v>48</x:v>
      </x:c>
      <x:c r="I288" s="10"/>
      <x:c r="J288" s="10"/>
      <x:c r="K288" s="10"/>
      <x:c r="L288" s="10"/>
      <x:c r="M288" s="1" t="str">
        <x:f aca="0">C288&amp;"|"&amp;E288&amp;"|"&amp;F288&amp;"|"&amp;G288</x:f>
        <x:v>RC|V04|2|工作经历条数</x:v>
      </x:c>
    </x:row>
    <x:row r="289" ht="16.5" hidden="0" customHeight="1">
      <x:c r="A289" s="11" t="str">
        <x:f aca="0">C289&amp;"-"&amp;E289&amp;"-R"&amp;F289</x:f>
        <x:v>RC-V04-R2</x:v>
      </x:c>
      <x:c r="B289" s="10"/>
      <x:c r="C289" s="11" t="str">
        <x:f aca="0">Reference!$B$3</x:f>
        <x:v>RC</x:v>
      </x:c>
      <x:c r="D289" s="10"/>
      <x:c r="E289" s="11" t="s">
        <x:v>14</x:v>
      </x:c>
      <x:c r="F289" s="11" t="n">
        <x:v>2</x:v>
      </x:c>
      <x:c r="G289" s="12" t="s">
        <x:v>49</x:v>
      </x:c>
      <x:c r="H289" s="11" t="s">
        <x:v>50</x:v>
      </x:c>
      <x:c r="I289" s="10"/>
      <x:c r="J289" s="10"/>
      <x:c r="K289" s="10"/>
      <x:c r="L289" s="10"/>
      <x:c r="M289" s="1" t="str">
        <x:f aca="0">C289&amp;"|"&amp;E289&amp;"|"&amp;F289&amp;"|"&amp;G289</x:f>
        <x:v>RC|V04|2|起止日期</x:v>
      </x:c>
    </x:row>
    <x:row r="290" ht="16.5" hidden="0" customHeight="1">
      <x:c r="A290" s="11" t="str">
        <x:f aca="0">C290&amp;"-"&amp;E290&amp;"-R"&amp;F290</x:f>
        <x:v>RC-V04-R2</x:v>
      </x:c>
      <x:c r="B290" s="10"/>
      <x:c r="C290" s="11" t="str">
        <x:f aca="0">Reference!$B$3</x:f>
        <x:v>RC</x:v>
      </x:c>
      <x:c r="D290" s="10"/>
      <x:c r="E290" s="11" t="s">
        <x:v>14</x:v>
      </x:c>
      <x:c r="F290" s="11" t="n">
        <x:v>2</x:v>
      </x:c>
      <x:c r="G290" s="12" t="s">
        <x:v>51</x:v>
      </x:c>
      <x:c r="H290" s="11" t="s">
        <x:v>52</x:v>
      </x:c>
      <x:c r="I290" s="10"/>
      <x:c r="J290" s="10"/>
      <x:c r="K290" s="10"/>
      <x:c r="L290" s="10"/>
      <x:c r="M290" s="1" t="str">
        <x:f aca="0">C290&amp;"|"&amp;E290&amp;"|"&amp;F290&amp;"|"&amp;G290</x:f>
        <x:v>RC|V04|2|教育背景</x:v>
      </x:c>
    </x:row>
    <x:row r="291" ht="16.5" hidden="0" customHeight="1">
      <x:c r="A291" s="11" t="str">
        <x:f aca="0">C291&amp;"-"&amp;E291&amp;"-R"&amp;F291</x:f>
        <x:v>RC-V04-R2</x:v>
      </x:c>
      <x:c r="B291" s="10"/>
      <x:c r="C291" s="11" t="str">
        <x:f aca="0">Reference!$B$3</x:f>
        <x:v>RC</x:v>
      </x:c>
      <x:c r="D291" s="10"/>
      <x:c r="E291" s="11" t="s">
        <x:v>14</x:v>
      </x:c>
      <x:c r="F291" s="11" t="n">
        <x:v>2</x:v>
      </x:c>
      <x:c r="G291" s="12" t="s">
        <x:v>53</x:v>
      </x:c>
      <x:c r="H291" s="11" t="s">
        <x:v>54</x:v>
      </x:c>
      <x:c r="I291" s="10"/>
      <x:c r="J291" s="10"/>
      <x:c r="K291" s="10"/>
      <x:c r="L291" s="10"/>
      <x:c r="M291" s="1" t="str">
        <x:f aca="0">C291&amp;"|"&amp;E291&amp;"|"&amp;F291&amp;"|"&amp;G291</x:f>
        <x:v>RC|V04|2|技能识别数量</x:v>
      </x:c>
    </x:row>
    <x:row r="292" ht="16.5" hidden="0" customHeight="1">
      <x:c r="A292" s="11" t="str">
        <x:f aca="0">C292&amp;"-"&amp;E292&amp;"-R"&amp;F292</x:f>
        <x:v>RC-V04-R3</x:v>
      </x:c>
      <x:c r="B292" s="10"/>
      <x:c r="C292" s="11" t="str">
        <x:f aca="0">Reference!$B$3</x:f>
        <x:v>RC</x:v>
      </x:c>
      <x:c r="D292" s="10"/>
      <x:c r="E292" s="11" t="s">
        <x:v>14</x:v>
      </x:c>
      <x:c r="F292" s="11" t="n">
        <x:v>3</x:v>
      </x:c>
      <x:c r="G292" s="12" t="s">
        <x:v>35</x:v>
      </x:c>
      <x:c r="H292" s="11" t="s">
        <x:v>36</x:v>
      </x:c>
      <x:c r="I292" s="10"/>
      <x:c r="J292" s="10"/>
      <x:c r="K292" s="10"/>
      <x:c r="L292" s="10"/>
      <x:c r="M292" s="1" t="str">
        <x:f aca="0">C292&amp;"|"&amp;E292&amp;"|"&amp;F292&amp;"|"&amp;G292</x:f>
        <x:v>RC|V04|3|姓名</x:v>
      </x:c>
    </x:row>
    <x:row r="293" ht="16.5" hidden="0" customHeight="1">
      <x:c r="A293" s="11" t="str">
        <x:f aca="0">C293&amp;"-"&amp;E293&amp;"-R"&amp;F293</x:f>
        <x:v>RC-V04-R3</x:v>
      </x:c>
      <x:c r="B293" s="10"/>
      <x:c r="C293" s="11" t="str">
        <x:f aca="0">Reference!$B$3</x:f>
        <x:v>RC</x:v>
      </x:c>
      <x:c r="D293" s="10"/>
      <x:c r="E293" s="11" t="s">
        <x:v>14</x:v>
      </x:c>
      <x:c r="F293" s="11" t="n">
        <x:v>3</x:v>
      </x:c>
      <x:c r="G293" s="12" t="s">
        <x:v>37</x:v>
      </x:c>
      <x:c r="H293" s="11" t="s">
        <x:v>38</x:v>
      </x:c>
      <x:c r="I293" s="10"/>
      <x:c r="J293" s="10"/>
      <x:c r="K293" s="10"/>
      <x:c r="L293" s="10"/>
      <x:c r="M293" s="1" t="str">
        <x:f aca="0">C293&amp;"|"&amp;E293&amp;"|"&amp;F293&amp;"|"&amp;G293</x:f>
        <x:v>RC|V04|3|邮箱</x:v>
      </x:c>
    </x:row>
    <x:row r="294" ht="16.5" hidden="0" customHeight="1">
      <x:c r="A294" s="11" t="str">
        <x:f aca="0">C294&amp;"-"&amp;E294&amp;"-R"&amp;F294</x:f>
        <x:v>RC-V04-R3</x:v>
      </x:c>
      <x:c r="B294" s="10"/>
      <x:c r="C294" s="11" t="str">
        <x:f aca="0">Reference!$B$3</x:f>
        <x:v>RC</x:v>
      </x:c>
      <x:c r="D294" s="10"/>
      <x:c r="E294" s="11" t="s">
        <x:v>14</x:v>
      </x:c>
      <x:c r="F294" s="11" t="n">
        <x:v>3</x:v>
      </x:c>
      <x:c r="G294" s="12" t="s">
        <x:v>39</x:v>
      </x:c>
      <x:c r="H294" s="11" t="s">
        <x:v>40</x:v>
      </x:c>
      <x:c r="I294" s="10"/>
      <x:c r="J294" s="10"/>
      <x:c r="K294" s="10"/>
      <x:c r="L294" s="10"/>
      <x:c r="M294" s="1" t="str">
        <x:f aca="0">C294&amp;"|"&amp;E294&amp;"|"&amp;F294&amp;"|"&amp;G294</x:f>
        <x:v>RC|V04|3|电话</x:v>
      </x:c>
    </x:row>
    <x:row r="295" ht="16.5" hidden="0" customHeight="1">
      <x:c r="A295" s="11" t="str">
        <x:f aca="0">C295&amp;"-"&amp;E295&amp;"-R"&amp;F295</x:f>
        <x:v>RC-V04-R3</x:v>
      </x:c>
      <x:c r="B295" s="10"/>
      <x:c r="C295" s="11" t="str">
        <x:f aca="0">Reference!$B$3</x:f>
        <x:v>RC</x:v>
      </x:c>
      <x:c r="D295" s="10"/>
      <x:c r="E295" s="11" t="s">
        <x:v>14</x:v>
      </x:c>
      <x:c r="F295" s="11" t="n">
        <x:v>3</x:v>
      </x:c>
      <x:c r="G295" s="12" t="s">
        <x:v>41</x:v>
      </x:c>
      <x:c r="H295" s="11" t="s">
        <x:v>42</x:v>
      </x:c>
      <x:c r="I295" s="10"/>
      <x:c r="J295" s="10"/>
      <x:c r="K295" s="10"/>
      <x:c r="L295" s="10"/>
      <x:c r="M295" s="1" t="str">
        <x:f aca="0">C295&amp;"|"&amp;E295&amp;"|"&amp;F295&amp;"|"&amp;G295</x:f>
        <x:v>RC|V04|3|城市</x:v>
      </x:c>
    </x:row>
    <x:row r="296" ht="16.5" hidden="0" customHeight="1">
      <x:c r="A296" s="11" t="str">
        <x:f aca="0">C296&amp;"-"&amp;E296&amp;"-R"&amp;F296</x:f>
        <x:v>RC-V04-R3</x:v>
      </x:c>
      <x:c r="B296" s="10"/>
      <x:c r="C296" s="11" t="str">
        <x:f aca="0">Reference!$B$3</x:f>
        <x:v>RC</x:v>
      </x:c>
      <x:c r="D296" s="10"/>
      <x:c r="E296" s="11" t="s">
        <x:v>14</x:v>
      </x:c>
      <x:c r="F296" s="11" t="n">
        <x:v>3</x:v>
      </x:c>
      <x:c r="G296" s="12" t="s">
        <x:v>43</x:v>
      </x:c>
      <x:c r="H296" s="11" t="s">
        <x:v>44</x:v>
      </x:c>
      <x:c r="I296" s="10"/>
      <x:c r="J296" s="10"/>
      <x:c r="K296" s="10"/>
      <x:c r="L296" s="10"/>
      <x:c r="M296" s="1" t="str">
        <x:f aca="0">C296&amp;"|"&amp;E296&amp;"|"&amp;F296&amp;"|"&amp;G296</x:f>
        <x:v>RC|V04|3|最近公司</x:v>
      </x:c>
    </x:row>
    <x:row r="297" ht="16.5" hidden="0" customHeight="1">
      <x:c r="A297" s="11" t="str">
        <x:f aca="0">C297&amp;"-"&amp;E297&amp;"-R"&amp;F297</x:f>
        <x:v>RC-V04-R3</x:v>
      </x:c>
      <x:c r="B297" s="10"/>
      <x:c r="C297" s="11" t="str">
        <x:f aca="0">Reference!$B$3</x:f>
        <x:v>RC</x:v>
      </x:c>
      <x:c r="D297" s="10"/>
      <x:c r="E297" s="11" t="s">
        <x:v>14</x:v>
      </x:c>
      <x:c r="F297" s="11" t="n">
        <x:v>3</x:v>
      </x:c>
      <x:c r="G297" s="12" t="s">
        <x:v>45</x:v>
      </x:c>
      <x:c r="H297" s="11" t="s">
        <x:v>46</x:v>
      </x:c>
      <x:c r="I297" s="10"/>
      <x:c r="J297" s="10"/>
      <x:c r="K297" s="10"/>
      <x:c r="L297" s="10"/>
      <x:c r="M297" s="1" t="str">
        <x:f aca="0">C297&amp;"|"&amp;E297&amp;"|"&amp;F297&amp;"|"&amp;G297</x:f>
        <x:v>RC|V04|3|最近职位头衔</x:v>
      </x:c>
    </x:row>
    <x:row r="298" ht="16.5" hidden="0" customHeight="1">
      <x:c r="A298" s="11" t="str">
        <x:f aca="0">C298&amp;"-"&amp;E298&amp;"-R"&amp;F298</x:f>
        <x:v>RC-V04-R3</x:v>
      </x:c>
      <x:c r="B298" s="10"/>
      <x:c r="C298" s="11" t="str">
        <x:f aca="0">Reference!$B$3</x:f>
        <x:v>RC</x:v>
      </x:c>
      <x:c r="D298" s="10"/>
      <x:c r="E298" s="11" t="s">
        <x:v>14</x:v>
      </x:c>
      <x:c r="F298" s="11" t="n">
        <x:v>3</x:v>
      </x:c>
      <x:c r="G298" s="12" t="s">
        <x:v>47</x:v>
      </x:c>
      <x:c r="H298" s="11" t="s">
        <x:v>48</x:v>
      </x:c>
      <x:c r="I298" s="10"/>
      <x:c r="J298" s="10"/>
      <x:c r="K298" s="10"/>
      <x:c r="L298" s="10"/>
      <x:c r="M298" s="1" t="str">
        <x:f aca="0">C298&amp;"|"&amp;E298&amp;"|"&amp;F298&amp;"|"&amp;G298</x:f>
        <x:v>RC|V04|3|工作经历条数</x:v>
      </x:c>
    </x:row>
    <x:row r="299" ht="16.5" hidden="0" customHeight="1">
      <x:c r="A299" s="11" t="str">
        <x:f aca="0">C299&amp;"-"&amp;E299&amp;"-R"&amp;F299</x:f>
        <x:v>RC-V04-R3</x:v>
      </x:c>
      <x:c r="B299" s="10"/>
      <x:c r="C299" s="11" t="str">
        <x:f aca="0">Reference!$B$3</x:f>
        <x:v>RC</x:v>
      </x:c>
      <x:c r="D299" s="10"/>
      <x:c r="E299" s="11" t="s">
        <x:v>14</x:v>
      </x:c>
      <x:c r="F299" s="11" t="n">
        <x:v>3</x:v>
      </x:c>
      <x:c r="G299" s="12" t="s">
        <x:v>49</x:v>
      </x:c>
      <x:c r="H299" s="11" t="s">
        <x:v>50</x:v>
      </x:c>
      <x:c r="I299" s="10"/>
      <x:c r="J299" s="10"/>
      <x:c r="K299" s="10"/>
      <x:c r="L299" s="10"/>
      <x:c r="M299" s="1" t="str">
        <x:f aca="0">C299&amp;"|"&amp;E299&amp;"|"&amp;F299&amp;"|"&amp;G299</x:f>
        <x:v>RC|V04|3|起止日期</x:v>
      </x:c>
    </x:row>
    <x:row r="300" ht="16.5" hidden="0" customHeight="1">
      <x:c r="A300" s="11" t="str">
        <x:f aca="0">C300&amp;"-"&amp;E300&amp;"-R"&amp;F300</x:f>
        <x:v>RC-V04-R3</x:v>
      </x:c>
      <x:c r="B300" s="10"/>
      <x:c r="C300" s="11" t="str">
        <x:f aca="0">Reference!$B$3</x:f>
        <x:v>RC</x:v>
      </x:c>
      <x:c r="D300" s="10"/>
      <x:c r="E300" s="11" t="s">
        <x:v>14</x:v>
      </x:c>
      <x:c r="F300" s="11" t="n">
        <x:v>3</x:v>
      </x:c>
      <x:c r="G300" s="12" t="s">
        <x:v>51</x:v>
      </x:c>
      <x:c r="H300" s="11" t="s">
        <x:v>52</x:v>
      </x:c>
      <x:c r="I300" s="10"/>
      <x:c r="J300" s="10"/>
      <x:c r="K300" s="10"/>
      <x:c r="L300" s="10"/>
      <x:c r="M300" s="1" t="str">
        <x:f aca="0">C300&amp;"|"&amp;E300&amp;"|"&amp;F300&amp;"|"&amp;G300</x:f>
        <x:v>RC|V04|3|教育背景</x:v>
      </x:c>
    </x:row>
    <x:row r="301" ht="16.5" hidden="0" customHeight="1">
      <x:c r="A301" s="11" t="str">
        <x:f aca="0">C301&amp;"-"&amp;E301&amp;"-R"&amp;F301</x:f>
        <x:v>RC-V04-R3</x:v>
      </x:c>
      <x:c r="B301" s="10"/>
      <x:c r="C301" s="11" t="str">
        <x:f aca="0">Reference!$B$3</x:f>
        <x:v>RC</x:v>
      </x:c>
      <x:c r="D301" s="10"/>
      <x:c r="E301" s="11" t="s">
        <x:v>14</x:v>
      </x:c>
      <x:c r="F301" s="11" t="n">
        <x:v>3</x:v>
      </x:c>
      <x:c r="G301" s="12" t="s">
        <x:v>53</x:v>
      </x:c>
      <x:c r="H301" s="11" t="s">
        <x:v>54</x:v>
      </x:c>
      <x:c r="I301" s="10"/>
      <x:c r="J301" s="10"/>
      <x:c r="K301" s="10"/>
      <x:c r="L301" s="10"/>
      <x:c r="M301" s="1" t="str">
        <x:f aca="0">C301&amp;"|"&amp;E301&amp;"|"&amp;F301&amp;"|"&amp;G301</x:f>
        <x:v>RC|V04|3|技能识别数量</x:v>
      </x:c>
    </x:row>
    <x:row r="302" ht="16.5" hidden="0" customHeight="1">
      <x:c r="A302" s="4" t="str">
        <x:f aca="0">C302&amp;"-"&amp;E302&amp;"-R"&amp;F302</x:f>
        <x:v>RC-V05-R1</x:v>
      </x:c>
      <x:c r="B302" s="10"/>
      <x:c r="C302" s="4" t="str">
        <x:f aca="0">Reference!$B$3</x:f>
        <x:v>RC</x:v>
      </x:c>
      <x:c r="D302" s="10"/>
      <x:c r="E302" s="4" t="s">
        <x:v>16</x:v>
      </x:c>
      <x:c r="F302" s="4" t="n">
        <x:v>1</x:v>
      </x:c>
      <x:c r="G302" s="5" t="s">
        <x:v>35</x:v>
      </x:c>
      <x:c r="H302" s="4" t="s">
        <x:v>36</x:v>
      </x:c>
      <x:c r="I302" s="10"/>
      <x:c r="J302" s="10"/>
      <x:c r="K302" s="10"/>
      <x:c r="L302" s="10"/>
      <x:c r="M302" s="1" t="str">
        <x:f aca="0">C302&amp;"|"&amp;E302&amp;"|"&amp;F302&amp;"|"&amp;G302</x:f>
        <x:v>RC|V05|1|姓名</x:v>
      </x:c>
    </x:row>
    <x:row r="303" ht="16.5" hidden="0" customHeight="1">
      <x:c r="A303" s="4" t="str">
        <x:f aca="0">C303&amp;"-"&amp;E303&amp;"-R"&amp;F303</x:f>
        <x:v>RC-V05-R1</x:v>
      </x:c>
      <x:c r="B303" s="10"/>
      <x:c r="C303" s="4" t="str">
        <x:f aca="0">Reference!$B$3</x:f>
        <x:v>RC</x:v>
      </x:c>
      <x:c r="D303" s="10"/>
      <x:c r="E303" s="4" t="s">
        <x:v>16</x:v>
      </x:c>
      <x:c r="F303" s="4" t="n">
        <x:v>1</x:v>
      </x:c>
      <x:c r="G303" s="5" t="s">
        <x:v>37</x:v>
      </x:c>
      <x:c r="H303" s="4" t="s">
        <x:v>38</x:v>
      </x:c>
      <x:c r="I303" s="10"/>
      <x:c r="J303" s="10"/>
      <x:c r="K303" s="10"/>
      <x:c r="L303" s="10"/>
      <x:c r="M303" s="1" t="str">
        <x:f aca="0">C303&amp;"|"&amp;E303&amp;"|"&amp;F303&amp;"|"&amp;G303</x:f>
        <x:v>RC|V05|1|邮箱</x:v>
      </x:c>
    </x:row>
    <x:row r="304" ht="16.5" hidden="0" customHeight="1">
      <x:c r="A304" s="4" t="str">
        <x:f aca="0">C304&amp;"-"&amp;E304&amp;"-R"&amp;F304</x:f>
        <x:v>RC-V05-R1</x:v>
      </x:c>
      <x:c r="B304" s="10"/>
      <x:c r="C304" s="4" t="str">
        <x:f aca="0">Reference!$B$3</x:f>
        <x:v>RC</x:v>
      </x:c>
      <x:c r="D304" s="10"/>
      <x:c r="E304" s="4" t="s">
        <x:v>16</x:v>
      </x:c>
      <x:c r="F304" s="4" t="n">
        <x:v>1</x:v>
      </x:c>
      <x:c r="G304" s="5" t="s">
        <x:v>39</x:v>
      </x:c>
      <x:c r="H304" s="4" t="s">
        <x:v>40</x:v>
      </x:c>
      <x:c r="I304" s="10"/>
      <x:c r="J304" s="10"/>
      <x:c r="K304" s="10"/>
      <x:c r="L304" s="10"/>
      <x:c r="M304" s="1" t="str">
        <x:f aca="0">C304&amp;"|"&amp;E304&amp;"|"&amp;F304&amp;"|"&amp;G304</x:f>
        <x:v>RC|V05|1|电话</x:v>
      </x:c>
    </x:row>
    <x:row r="305" ht="16.5" hidden="0" customHeight="1">
      <x:c r="A305" s="4" t="str">
        <x:f aca="0">C305&amp;"-"&amp;E305&amp;"-R"&amp;F305</x:f>
        <x:v>RC-V05-R1</x:v>
      </x:c>
      <x:c r="B305" s="10"/>
      <x:c r="C305" s="4" t="str">
        <x:f aca="0">Reference!$B$3</x:f>
        <x:v>RC</x:v>
      </x:c>
      <x:c r="D305" s="10"/>
      <x:c r="E305" s="4" t="s">
        <x:v>16</x:v>
      </x:c>
      <x:c r="F305" s="4" t="n">
        <x:v>1</x:v>
      </x:c>
      <x:c r="G305" s="5" t="s">
        <x:v>41</x:v>
      </x:c>
      <x:c r="H305" s="4" t="s">
        <x:v>42</x:v>
      </x:c>
      <x:c r="I305" s="10"/>
      <x:c r="J305" s="10"/>
      <x:c r="K305" s="10"/>
      <x:c r="L305" s="10"/>
      <x:c r="M305" s="1" t="str">
        <x:f aca="0">C305&amp;"|"&amp;E305&amp;"|"&amp;F305&amp;"|"&amp;G305</x:f>
        <x:v>RC|V05|1|城市</x:v>
      </x:c>
    </x:row>
    <x:row r="306" ht="16.5" hidden="0" customHeight="1">
      <x:c r="A306" s="4" t="str">
        <x:f aca="0">C306&amp;"-"&amp;E306&amp;"-R"&amp;F306</x:f>
        <x:v>RC-V05-R1</x:v>
      </x:c>
      <x:c r="B306" s="10"/>
      <x:c r="C306" s="4" t="str">
        <x:f aca="0">Reference!$B$3</x:f>
        <x:v>RC</x:v>
      </x:c>
      <x:c r="D306" s="10"/>
      <x:c r="E306" s="4" t="s">
        <x:v>16</x:v>
      </x:c>
      <x:c r="F306" s="4" t="n">
        <x:v>1</x:v>
      </x:c>
      <x:c r="G306" s="5" t="s">
        <x:v>43</x:v>
      </x:c>
      <x:c r="H306" s="4" t="s">
        <x:v>44</x:v>
      </x:c>
      <x:c r="I306" s="10"/>
      <x:c r="J306" s="10"/>
      <x:c r="K306" s="10"/>
      <x:c r="L306" s="10"/>
      <x:c r="M306" s="1" t="str">
        <x:f aca="0">C306&amp;"|"&amp;E306&amp;"|"&amp;F306&amp;"|"&amp;G306</x:f>
        <x:v>RC|V05|1|最近公司</x:v>
      </x:c>
    </x:row>
    <x:row r="307" ht="16.5" hidden="0" customHeight="1">
      <x:c r="A307" s="4" t="str">
        <x:f aca="0">C307&amp;"-"&amp;E307&amp;"-R"&amp;F307</x:f>
        <x:v>RC-V05-R1</x:v>
      </x:c>
      <x:c r="B307" s="10"/>
      <x:c r="C307" s="4" t="str">
        <x:f aca="0">Reference!$B$3</x:f>
        <x:v>RC</x:v>
      </x:c>
      <x:c r="D307" s="10"/>
      <x:c r="E307" s="4" t="s">
        <x:v>16</x:v>
      </x:c>
      <x:c r="F307" s="4" t="n">
        <x:v>1</x:v>
      </x:c>
      <x:c r="G307" s="5" t="s">
        <x:v>45</x:v>
      </x:c>
      <x:c r="H307" s="4" t="s">
        <x:v>46</x:v>
      </x:c>
      <x:c r="I307" s="10"/>
      <x:c r="J307" s="10"/>
      <x:c r="K307" s="10"/>
      <x:c r="L307" s="10"/>
      <x:c r="M307" s="1" t="str">
        <x:f aca="0">C307&amp;"|"&amp;E307&amp;"|"&amp;F307&amp;"|"&amp;G307</x:f>
        <x:v>RC|V05|1|最近职位头衔</x:v>
      </x:c>
    </x:row>
    <x:row r="308" ht="16.5" hidden="0" customHeight="1">
      <x:c r="A308" s="4" t="str">
        <x:f aca="0">C308&amp;"-"&amp;E308&amp;"-R"&amp;F308</x:f>
        <x:v>RC-V05-R1</x:v>
      </x:c>
      <x:c r="B308" s="10"/>
      <x:c r="C308" s="4" t="str">
        <x:f aca="0">Reference!$B$3</x:f>
        <x:v>RC</x:v>
      </x:c>
      <x:c r="D308" s="10"/>
      <x:c r="E308" s="4" t="s">
        <x:v>16</x:v>
      </x:c>
      <x:c r="F308" s="4" t="n">
        <x:v>1</x:v>
      </x:c>
      <x:c r="G308" s="5" t="s">
        <x:v>47</x:v>
      </x:c>
      <x:c r="H308" s="4" t="s">
        <x:v>48</x:v>
      </x:c>
      <x:c r="I308" s="10"/>
      <x:c r="J308" s="10"/>
      <x:c r="K308" s="10"/>
      <x:c r="L308" s="10"/>
      <x:c r="M308" s="1" t="str">
        <x:f aca="0">C308&amp;"|"&amp;E308&amp;"|"&amp;F308&amp;"|"&amp;G308</x:f>
        <x:v>RC|V05|1|工作经历条数</x:v>
      </x:c>
    </x:row>
    <x:row r="309" ht="16.5" hidden="0" customHeight="1">
      <x:c r="A309" s="4" t="str">
        <x:f aca="0">C309&amp;"-"&amp;E309&amp;"-R"&amp;F309</x:f>
        <x:v>RC-V05-R1</x:v>
      </x:c>
      <x:c r="B309" s="10"/>
      <x:c r="C309" s="4" t="str">
        <x:f aca="0">Reference!$B$3</x:f>
        <x:v>RC</x:v>
      </x:c>
      <x:c r="D309" s="10"/>
      <x:c r="E309" s="4" t="s">
        <x:v>16</x:v>
      </x:c>
      <x:c r="F309" s="4" t="n">
        <x:v>1</x:v>
      </x:c>
      <x:c r="G309" s="5" t="s">
        <x:v>49</x:v>
      </x:c>
      <x:c r="H309" s="4" t="s">
        <x:v>50</x:v>
      </x:c>
      <x:c r="I309" s="10"/>
      <x:c r="J309" s="10"/>
      <x:c r="K309" s="10"/>
      <x:c r="L309" s="10"/>
      <x:c r="M309" s="1" t="str">
        <x:f aca="0">C309&amp;"|"&amp;E309&amp;"|"&amp;F309&amp;"|"&amp;G309</x:f>
        <x:v>RC|V05|1|起止日期</x:v>
      </x:c>
    </x:row>
    <x:row r="310" ht="16.5" hidden="0" customHeight="1">
      <x:c r="A310" s="4" t="str">
        <x:f aca="0">C310&amp;"-"&amp;E310&amp;"-R"&amp;F310</x:f>
        <x:v>RC-V05-R1</x:v>
      </x:c>
      <x:c r="B310" s="10"/>
      <x:c r="C310" s="4" t="str">
        <x:f aca="0">Reference!$B$3</x:f>
        <x:v>RC</x:v>
      </x:c>
      <x:c r="D310" s="10"/>
      <x:c r="E310" s="4" t="s">
        <x:v>16</x:v>
      </x:c>
      <x:c r="F310" s="4" t="n">
        <x:v>1</x:v>
      </x:c>
      <x:c r="G310" s="5" t="s">
        <x:v>51</x:v>
      </x:c>
      <x:c r="H310" s="4" t="s">
        <x:v>52</x:v>
      </x:c>
      <x:c r="I310" s="10"/>
      <x:c r="J310" s="10"/>
      <x:c r="K310" s="10"/>
      <x:c r="L310" s="10"/>
      <x:c r="M310" s="1" t="str">
        <x:f aca="0">C310&amp;"|"&amp;E310&amp;"|"&amp;F310&amp;"|"&amp;G310</x:f>
        <x:v>RC|V05|1|教育背景</x:v>
      </x:c>
    </x:row>
    <x:row r="311" ht="16.5" hidden="0" customHeight="1">
      <x:c r="A311" s="4" t="str">
        <x:f aca="0">C311&amp;"-"&amp;E311&amp;"-R"&amp;F311</x:f>
        <x:v>RC-V05-R1</x:v>
      </x:c>
      <x:c r="B311" s="10"/>
      <x:c r="C311" s="4" t="str">
        <x:f aca="0">Reference!$B$3</x:f>
        <x:v>RC</x:v>
      </x:c>
      <x:c r="D311" s="10"/>
      <x:c r="E311" s="4" t="s">
        <x:v>16</x:v>
      </x:c>
      <x:c r="F311" s="4" t="n">
        <x:v>1</x:v>
      </x:c>
      <x:c r="G311" s="5" t="s">
        <x:v>53</x:v>
      </x:c>
      <x:c r="H311" s="4" t="s">
        <x:v>54</x:v>
      </x:c>
      <x:c r="I311" s="10"/>
      <x:c r="J311" s="10"/>
      <x:c r="K311" s="10"/>
      <x:c r="L311" s="10"/>
      <x:c r="M311" s="1" t="str">
        <x:f aca="0">C311&amp;"|"&amp;E311&amp;"|"&amp;F311&amp;"|"&amp;G311</x:f>
        <x:v>RC|V05|1|技能识别数量</x:v>
      </x:c>
    </x:row>
    <x:row r="312" ht="16.5" hidden="0" customHeight="1">
      <x:c r="A312" s="4" t="str">
        <x:f aca="0">C312&amp;"-"&amp;E312&amp;"-R"&amp;F312</x:f>
        <x:v>RC-V05-R2</x:v>
      </x:c>
      <x:c r="B312" s="10"/>
      <x:c r="C312" s="4" t="str">
        <x:f aca="0">Reference!$B$3</x:f>
        <x:v>RC</x:v>
      </x:c>
      <x:c r="D312" s="10"/>
      <x:c r="E312" s="4" t="s">
        <x:v>16</x:v>
      </x:c>
      <x:c r="F312" s="4" t="n">
        <x:v>2</x:v>
      </x:c>
      <x:c r="G312" s="5" t="s">
        <x:v>35</x:v>
      </x:c>
      <x:c r="H312" s="4" t="s">
        <x:v>36</x:v>
      </x:c>
      <x:c r="I312" s="10"/>
      <x:c r="J312" s="10"/>
      <x:c r="K312" s="10"/>
      <x:c r="L312" s="10"/>
      <x:c r="M312" s="1" t="str">
        <x:f aca="0">C312&amp;"|"&amp;E312&amp;"|"&amp;F312&amp;"|"&amp;G312</x:f>
        <x:v>RC|V05|2|姓名</x:v>
      </x:c>
    </x:row>
    <x:row r="313" ht="16.5" hidden="0" customHeight="1">
      <x:c r="A313" s="4" t="str">
        <x:f aca="0">C313&amp;"-"&amp;E313&amp;"-R"&amp;F313</x:f>
        <x:v>RC-V05-R2</x:v>
      </x:c>
      <x:c r="B313" s="10"/>
      <x:c r="C313" s="4" t="str">
        <x:f aca="0">Reference!$B$3</x:f>
        <x:v>RC</x:v>
      </x:c>
      <x:c r="D313" s="10"/>
      <x:c r="E313" s="4" t="s">
        <x:v>16</x:v>
      </x:c>
      <x:c r="F313" s="4" t="n">
        <x:v>2</x:v>
      </x:c>
      <x:c r="G313" s="5" t="s">
        <x:v>37</x:v>
      </x:c>
      <x:c r="H313" s="4" t="s">
        <x:v>38</x:v>
      </x:c>
      <x:c r="I313" s="10"/>
      <x:c r="J313" s="10"/>
      <x:c r="K313" s="10"/>
      <x:c r="L313" s="10"/>
      <x:c r="M313" s="1" t="str">
        <x:f aca="0">C313&amp;"|"&amp;E313&amp;"|"&amp;F313&amp;"|"&amp;G313</x:f>
        <x:v>RC|V05|2|邮箱</x:v>
      </x:c>
    </x:row>
    <x:row r="314" ht="16.5" hidden="0" customHeight="1">
      <x:c r="A314" s="4" t="str">
        <x:f aca="0">C314&amp;"-"&amp;E314&amp;"-R"&amp;F314</x:f>
        <x:v>RC-V05-R2</x:v>
      </x:c>
      <x:c r="B314" s="10"/>
      <x:c r="C314" s="4" t="str">
        <x:f aca="0">Reference!$B$3</x:f>
        <x:v>RC</x:v>
      </x:c>
      <x:c r="D314" s="10"/>
      <x:c r="E314" s="4" t="s">
        <x:v>16</x:v>
      </x:c>
      <x:c r="F314" s="4" t="n">
        <x:v>2</x:v>
      </x:c>
      <x:c r="G314" s="5" t="s">
        <x:v>39</x:v>
      </x:c>
      <x:c r="H314" s="4" t="s">
        <x:v>40</x:v>
      </x:c>
      <x:c r="I314" s="10"/>
      <x:c r="J314" s="10"/>
      <x:c r="K314" s="10"/>
      <x:c r="L314" s="10"/>
      <x:c r="M314" s="1" t="str">
        <x:f aca="0">C314&amp;"|"&amp;E314&amp;"|"&amp;F314&amp;"|"&amp;G314</x:f>
        <x:v>RC|V05|2|电话</x:v>
      </x:c>
    </x:row>
    <x:row r="315" ht="16.5" hidden="0" customHeight="1">
      <x:c r="A315" s="4" t="str">
        <x:f aca="0">C315&amp;"-"&amp;E315&amp;"-R"&amp;F315</x:f>
        <x:v>RC-V05-R2</x:v>
      </x:c>
      <x:c r="B315" s="10"/>
      <x:c r="C315" s="4" t="str">
        <x:f aca="0">Reference!$B$3</x:f>
        <x:v>RC</x:v>
      </x:c>
      <x:c r="D315" s="10"/>
      <x:c r="E315" s="4" t="s">
        <x:v>16</x:v>
      </x:c>
      <x:c r="F315" s="4" t="n">
        <x:v>2</x:v>
      </x:c>
      <x:c r="G315" s="5" t="s">
        <x:v>41</x:v>
      </x:c>
      <x:c r="H315" s="4" t="s">
        <x:v>42</x:v>
      </x:c>
      <x:c r="I315" s="10"/>
      <x:c r="J315" s="10"/>
      <x:c r="K315" s="10"/>
      <x:c r="L315" s="10"/>
      <x:c r="M315" s="1" t="str">
        <x:f aca="0">C315&amp;"|"&amp;E315&amp;"|"&amp;F315&amp;"|"&amp;G315</x:f>
        <x:v>RC|V05|2|城市</x:v>
      </x:c>
    </x:row>
    <x:row r="316" ht="16.5" hidden="0" customHeight="1">
      <x:c r="A316" s="4" t="str">
        <x:f aca="0">C316&amp;"-"&amp;E316&amp;"-R"&amp;F316</x:f>
        <x:v>RC-V05-R2</x:v>
      </x:c>
      <x:c r="B316" s="10"/>
      <x:c r="C316" s="4" t="str">
        <x:f aca="0">Reference!$B$3</x:f>
        <x:v>RC</x:v>
      </x:c>
      <x:c r="D316" s="10"/>
      <x:c r="E316" s="4" t="s">
        <x:v>16</x:v>
      </x:c>
      <x:c r="F316" s="4" t="n">
        <x:v>2</x:v>
      </x:c>
      <x:c r="G316" s="5" t="s">
        <x:v>43</x:v>
      </x:c>
      <x:c r="H316" s="4" t="s">
        <x:v>44</x:v>
      </x:c>
      <x:c r="I316" s="10"/>
      <x:c r="J316" s="10"/>
      <x:c r="K316" s="10"/>
      <x:c r="L316" s="10"/>
      <x:c r="M316" s="1" t="str">
        <x:f aca="0">C316&amp;"|"&amp;E316&amp;"|"&amp;F316&amp;"|"&amp;G316</x:f>
        <x:v>RC|V05|2|最近公司</x:v>
      </x:c>
    </x:row>
    <x:row r="317" ht="16.5" hidden="0" customHeight="1">
      <x:c r="A317" s="4" t="str">
        <x:f aca="0">C317&amp;"-"&amp;E317&amp;"-R"&amp;F317</x:f>
        <x:v>RC-V05-R2</x:v>
      </x:c>
      <x:c r="B317" s="10"/>
      <x:c r="C317" s="4" t="str">
        <x:f aca="0">Reference!$B$3</x:f>
        <x:v>RC</x:v>
      </x:c>
      <x:c r="D317" s="10"/>
      <x:c r="E317" s="4" t="s">
        <x:v>16</x:v>
      </x:c>
      <x:c r="F317" s="4" t="n">
        <x:v>2</x:v>
      </x:c>
      <x:c r="G317" s="5" t="s">
        <x:v>45</x:v>
      </x:c>
      <x:c r="H317" s="4" t="s">
        <x:v>46</x:v>
      </x:c>
      <x:c r="I317" s="10"/>
      <x:c r="J317" s="10"/>
      <x:c r="K317" s="10"/>
      <x:c r="L317" s="10"/>
      <x:c r="M317" s="1" t="str">
        <x:f aca="0">C317&amp;"|"&amp;E317&amp;"|"&amp;F317&amp;"|"&amp;G317</x:f>
        <x:v>RC|V05|2|最近职位头衔</x:v>
      </x:c>
    </x:row>
    <x:row r="318" ht="16.5" hidden="0" customHeight="1">
      <x:c r="A318" s="4" t="str">
        <x:f aca="0">C318&amp;"-"&amp;E318&amp;"-R"&amp;F318</x:f>
        <x:v>RC-V05-R2</x:v>
      </x:c>
      <x:c r="B318" s="10"/>
      <x:c r="C318" s="4" t="str">
        <x:f aca="0">Reference!$B$3</x:f>
        <x:v>RC</x:v>
      </x:c>
      <x:c r="D318" s="10"/>
      <x:c r="E318" s="4" t="s">
        <x:v>16</x:v>
      </x:c>
      <x:c r="F318" s="4" t="n">
        <x:v>2</x:v>
      </x:c>
      <x:c r="G318" s="5" t="s">
        <x:v>47</x:v>
      </x:c>
      <x:c r="H318" s="4" t="s">
        <x:v>48</x:v>
      </x:c>
      <x:c r="I318" s="10"/>
      <x:c r="J318" s="10"/>
      <x:c r="K318" s="10"/>
      <x:c r="L318" s="10"/>
      <x:c r="M318" s="1" t="str">
        <x:f aca="0">C318&amp;"|"&amp;E318&amp;"|"&amp;F318&amp;"|"&amp;G318</x:f>
        <x:v>RC|V05|2|工作经历条数</x:v>
      </x:c>
    </x:row>
    <x:row r="319" ht="16.5" hidden="0" customHeight="1">
      <x:c r="A319" s="4" t="str">
        <x:f aca="0">C319&amp;"-"&amp;E319&amp;"-R"&amp;F319</x:f>
        <x:v>RC-V05-R2</x:v>
      </x:c>
      <x:c r="B319" s="10"/>
      <x:c r="C319" s="4" t="str">
        <x:f aca="0">Reference!$B$3</x:f>
        <x:v>RC</x:v>
      </x:c>
      <x:c r="D319" s="10"/>
      <x:c r="E319" s="4" t="s">
        <x:v>16</x:v>
      </x:c>
      <x:c r="F319" s="4" t="n">
        <x:v>2</x:v>
      </x:c>
      <x:c r="G319" s="5" t="s">
        <x:v>49</x:v>
      </x:c>
      <x:c r="H319" s="4" t="s">
        <x:v>50</x:v>
      </x:c>
      <x:c r="I319" s="10"/>
      <x:c r="J319" s="10"/>
      <x:c r="K319" s="10"/>
      <x:c r="L319" s="10"/>
      <x:c r="M319" s="1" t="str">
        <x:f aca="0">C319&amp;"|"&amp;E319&amp;"|"&amp;F319&amp;"|"&amp;G319</x:f>
        <x:v>RC|V05|2|起止日期</x:v>
      </x:c>
    </x:row>
    <x:row r="320" ht="16.5" hidden="0" customHeight="1">
      <x:c r="A320" s="4" t="str">
        <x:f aca="0">C320&amp;"-"&amp;E320&amp;"-R"&amp;F320</x:f>
        <x:v>RC-V05-R2</x:v>
      </x:c>
      <x:c r="B320" s="10"/>
      <x:c r="C320" s="4" t="str">
        <x:f aca="0">Reference!$B$3</x:f>
        <x:v>RC</x:v>
      </x:c>
      <x:c r="D320" s="10"/>
      <x:c r="E320" s="4" t="s">
        <x:v>16</x:v>
      </x:c>
      <x:c r="F320" s="4" t="n">
        <x:v>2</x:v>
      </x:c>
      <x:c r="G320" s="5" t="s">
        <x:v>51</x:v>
      </x:c>
      <x:c r="H320" s="4" t="s">
        <x:v>52</x:v>
      </x:c>
      <x:c r="I320" s="10"/>
      <x:c r="J320" s="10"/>
      <x:c r="K320" s="10"/>
      <x:c r="L320" s="10"/>
      <x:c r="M320" s="1" t="str">
        <x:f aca="0">C320&amp;"|"&amp;E320&amp;"|"&amp;F320&amp;"|"&amp;G320</x:f>
        <x:v>RC|V05|2|教育背景</x:v>
      </x:c>
    </x:row>
    <x:row r="321" ht="16.5" hidden="0" customHeight="1">
      <x:c r="A321" s="4" t="str">
        <x:f aca="0">C321&amp;"-"&amp;E321&amp;"-R"&amp;F321</x:f>
        <x:v>RC-V05-R2</x:v>
      </x:c>
      <x:c r="B321" s="10"/>
      <x:c r="C321" s="4" t="str">
        <x:f aca="0">Reference!$B$3</x:f>
        <x:v>RC</x:v>
      </x:c>
      <x:c r="D321" s="10"/>
      <x:c r="E321" s="4" t="s">
        <x:v>16</x:v>
      </x:c>
      <x:c r="F321" s="4" t="n">
        <x:v>2</x:v>
      </x:c>
      <x:c r="G321" s="5" t="s">
        <x:v>53</x:v>
      </x:c>
      <x:c r="H321" s="4" t="s">
        <x:v>54</x:v>
      </x:c>
      <x:c r="I321" s="10"/>
      <x:c r="J321" s="10"/>
      <x:c r="K321" s="10"/>
      <x:c r="L321" s="10"/>
      <x:c r="M321" s="1" t="str">
        <x:f aca="0">C321&amp;"|"&amp;E321&amp;"|"&amp;F321&amp;"|"&amp;G321</x:f>
        <x:v>RC|V05|2|技能识别数量</x:v>
      </x:c>
    </x:row>
    <x:row r="322" ht="16.5" hidden="0" customHeight="1">
      <x:c r="A322" s="4" t="str">
        <x:f aca="0">C322&amp;"-"&amp;E322&amp;"-R"&amp;F322</x:f>
        <x:v>RC-V05-R3</x:v>
      </x:c>
      <x:c r="B322" s="10"/>
      <x:c r="C322" s="4" t="str">
        <x:f aca="0">Reference!$B$3</x:f>
        <x:v>RC</x:v>
      </x:c>
      <x:c r="D322" s="10"/>
      <x:c r="E322" s="4" t="s">
        <x:v>16</x:v>
      </x:c>
      <x:c r="F322" s="4" t="n">
        <x:v>3</x:v>
      </x:c>
      <x:c r="G322" s="5" t="s">
        <x:v>35</x:v>
      </x:c>
      <x:c r="H322" s="4" t="s">
        <x:v>36</x:v>
      </x:c>
      <x:c r="I322" s="10"/>
      <x:c r="J322" s="10"/>
      <x:c r="K322" s="10"/>
      <x:c r="L322" s="10"/>
      <x:c r="M322" s="1" t="str">
        <x:f aca="0">C322&amp;"|"&amp;E322&amp;"|"&amp;F322&amp;"|"&amp;G322</x:f>
        <x:v>RC|V05|3|姓名</x:v>
      </x:c>
    </x:row>
    <x:row r="323" ht="16.5" hidden="0" customHeight="1">
      <x:c r="A323" s="4" t="str">
        <x:f aca="0">C323&amp;"-"&amp;E323&amp;"-R"&amp;F323</x:f>
        <x:v>RC-V05-R3</x:v>
      </x:c>
      <x:c r="B323" s="10"/>
      <x:c r="C323" s="4" t="str">
        <x:f aca="0">Reference!$B$3</x:f>
        <x:v>RC</x:v>
      </x:c>
      <x:c r="D323" s="10"/>
      <x:c r="E323" s="4" t="s">
        <x:v>16</x:v>
      </x:c>
      <x:c r="F323" s="4" t="n">
        <x:v>3</x:v>
      </x:c>
      <x:c r="G323" s="5" t="s">
        <x:v>37</x:v>
      </x:c>
      <x:c r="H323" s="4" t="s">
        <x:v>38</x:v>
      </x:c>
      <x:c r="I323" s="10"/>
      <x:c r="J323" s="10"/>
      <x:c r="K323" s="10"/>
      <x:c r="L323" s="10"/>
      <x:c r="M323" s="1" t="str">
        <x:f aca="0">C323&amp;"|"&amp;E323&amp;"|"&amp;F323&amp;"|"&amp;G323</x:f>
        <x:v>RC|V05|3|邮箱</x:v>
      </x:c>
    </x:row>
    <x:row r="324" ht="16.5" hidden="0" customHeight="1">
      <x:c r="A324" s="4" t="str">
        <x:f aca="0">C324&amp;"-"&amp;E324&amp;"-R"&amp;F324</x:f>
        <x:v>RC-V05-R3</x:v>
      </x:c>
      <x:c r="B324" s="10"/>
      <x:c r="C324" s="4" t="str">
        <x:f aca="0">Reference!$B$3</x:f>
        <x:v>RC</x:v>
      </x:c>
      <x:c r="D324" s="10"/>
      <x:c r="E324" s="4" t="s">
        <x:v>16</x:v>
      </x:c>
      <x:c r="F324" s="4" t="n">
        <x:v>3</x:v>
      </x:c>
      <x:c r="G324" s="5" t="s">
        <x:v>39</x:v>
      </x:c>
      <x:c r="H324" s="4" t="s">
        <x:v>40</x:v>
      </x:c>
      <x:c r="I324" s="10"/>
      <x:c r="J324" s="10"/>
      <x:c r="K324" s="10"/>
      <x:c r="L324" s="10"/>
      <x:c r="M324" s="1" t="str">
        <x:f aca="0">C324&amp;"|"&amp;E324&amp;"|"&amp;F324&amp;"|"&amp;G324</x:f>
        <x:v>RC|V05|3|电话</x:v>
      </x:c>
    </x:row>
    <x:row r="325" ht="16.5" hidden="0" customHeight="1">
      <x:c r="A325" s="4" t="str">
        <x:f aca="0">C325&amp;"-"&amp;E325&amp;"-R"&amp;F325</x:f>
        <x:v>RC-V05-R3</x:v>
      </x:c>
      <x:c r="B325" s="10"/>
      <x:c r="C325" s="4" t="str">
        <x:f aca="0">Reference!$B$3</x:f>
        <x:v>RC</x:v>
      </x:c>
      <x:c r="D325" s="10"/>
      <x:c r="E325" s="4" t="s">
        <x:v>16</x:v>
      </x:c>
      <x:c r="F325" s="4" t="n">
        <x:v>3</x:v>
      </x:c>
      <x:c r="G325" s="5" t="s">
        <x:v>41</x:v>
      </x:c>
      <x:c r="H325" s="4" t="s">
        <x:v>42</x:v>
      </x:c>
      <x:c r="I325" s="10"/>
      <x:c r="J325" s="10"/>
      <x:c r="K325" s="10"/>
      <x:c r="L325" s="10"/>
      <x:c r="M325" s="1" t="str">
        <x:f aca="0">C325&amp;"|"&amp;E325&amp;"|"&amp;F325&amp;"|"&amp;G325</x:f>
        <x:v>RC|V05|3|城市</x:v>
      </x:c>
    </x:row>
    <x:row r="326" ht="16.5" hidden="0" customHeight="1">
      <x:c r="A326" s="4" t="str">
        <x:f aca="0">C326&amp;"-"&amp;E326&amp;"-R"&amp;F326</x:f>
        <x:v>RC-V05-R3</x:v>
      </x:c>
      <x:c r="B326" s="10"/>
      <x:c r="C326" s="4" t="str">
        <x:f aca="0">Reference!$B$3</x:f>
        <x:v>RC</x:v>
      </x:c>
      <x:c r="D326" s="10"/>
      <x:c r="E326" s="4" t="s">
        <x:v>16</x:v>
      </x:c>
      <x:c r="F326" s="4" t="n">
        <x:v>3</x:v>
      </x:c>
      <x:c r="G326" s="5" t="s">
        <x:v>43</x:v>
      </x:c>
      <x:c r="H326" s="4" t="s">
        <x:v>44</x:v>
      </x:c>
      <x:c r="I326" s="10"/>
      <x:c r="J326" s="10"/>
      <x:c r="K326" s="10"/>
      <x:c r="L326" s="10"/>
      <x:c r="M326" s="1" t="str">
        <x:f aca="0">C326&amp;"|"&amp;E326&amp;"|"&amp;F326&amp;"|"&amp;G326</x:f>
        <x:v>RC|V05|3|最近公司</x:v>
      </x:c>
    </x:row>
    <x:row r="327" ht="16.5" hidden="0" customHeight="1">
      <x:c r="A327" s="4" t="str">
        <x:f aca="0">C327&amp;"-"&amp;E327&amp;"-R"&amp;F327</x:f>
        <x:v>RC-V05-R3</x:v>
      </x:c>
      <x:c r="B327" s="10"/>
      <x:c r="C327" s="4" t="str">
        <x:f aca="0">Reference!$B$3</x:f>
        <x:v>RC</x:v>
      </x:c>
      <x:c r="D327" s="10"/>
      <x:c r="E327" s="4" t="s">
        <x:v>16</x:v>
      </x:c>
      <x:c r="F327" s="4" t="n">
        <x:v>3</x:v>
      </x:c>
      <x:c r="G327" s="5" t="s">
        <x:v>45</x:v>
      </x:c>
      <x:c r="H327" s="4" t="s">
        <x:v>46</x:v>
      </x:c>
      <x:c r="I327" s="10"/>
      <x:c r="J327" s="10"/>
      <x:c r="K327" s="10"/>
      <x:c r="L327" s="10"/>
      <x:c r="M327" s="1" t="str">
        <x:f aca="0">C327&amp;"|"&amp;E327&amp;"|"&amp;F327&amp;"|"&amp;G327</x:f>
        <x:v>RC|V05|3|最近职位头衔</x:v>
      </x:c>
    </x:row>
    <x:row r="328" ht="16.5" hidden="0" customHeight="1">
      <x:c r="A328" s="4" t="str">
        <x:f aca="0">C328&amp;"-"&amp;E328&amp;"-R"&amp;F328</x:f>
        <x:v>RC-V05-R3</x:v>
      </x:c>
      <x:c r="B328" s="10"/>
      <x:c r="C328" s="4" t="str">
        <x:f aca="0">Reference!$B$3</x:f>
        <x:v>RC</x:v>
      </x:c>
      <x:c r="D328" s="10"/>
      <x:c r="E328" s="4" t="s">
        <x:v>16</x:v>
      </x:c>
      <x:c r="F328" s="4" t="n">
        <x:v>3</x:v>
      </x:c>
      <x:c r="G328" s="5" t="s">
        <x:v>47</x:v>
      </x:c>
      <x:c r="H328" s="4" t="s">
        <x:v>48</x:v>
      </x:c>
      <x:c r="I328" s="10"/>
      <x:c r="J328" s="10"/>
      <x:c r="K328" s="10"/>
      <x:c r="L328" s="10"/>
      <x:c r="M328" s="1" t="str">
        <x:f aca="0">C328&amp;"|"&amp;E328&amp;"|"&amp;F328&amp;"|"&amp;G328</x:f>
        <x:v>RC|V05|3|工作经历条数</x:v>
      </x:c>
    </x:row>
    <x:row r="329" ht="16.5" hidden="0" customHeight="1">
      <x:c r="A329" s="4" t="str">
        <x:f aca="0">C329&amp;"-"&amp;E329&amp;"-R"&amp;F329</x:f>
        <x:v>RC-V05-R3</x:v>
      </x:c>
      <x:c r="B329" s="10"/>
      <x:c r="C329" s="4" t="str">
        <x:f aca="0">Reference!$B$3</x:f>
        <x:v>RC</x:v>
      </x:c>
      <x:c r="D329" s="10"/>
      <x:c r="E329" s="4" t="s">
        <x:v>16</x:v>
      </x:c>
      <x:c r="F329" s="4" t="n">
        <x:v>3</x:v>
      </x:c>
      <x:c r="G329" s="5" t="s">
        <x:v>49</x:v>
      </x:c>
      <x:c r="H329" s="4" t="s">
        <x:v>50</x:v>
      </x:c>
      <x:c r="I329" s="10"/>
      <x:c r="J329" s="10"/>
      <x:c r="K329" s="10"/>
      <x:c r="L329" s="10"/>
      <x:c r="M329" s="1" t="str">
        <x:f aca="0">C329&amp;"|"&amp;E329&amp;"|"&amp;F329&amp;"|"&amp;G329</x:f>
        <x:v>RC|V05|3|起止日期</x:v>
      </x:c>
    </x:row>
    <x:row r="330" ht="16.5" hidden="0" customHeight="1">
      <x:c r="A330" s="4" t="str">
        <x:f aca="0">C330&amp;"-"&amp;E330&amp;"-R"&amp;F330</x:f>
        <x:v>RC-V05-R3</x:v>
      </x:c>
      <x:c r="B330" s="10"/>
      <x:c r="C330" s="4" t="str">
        <x:f aca="0">Reference!$B$3</x:f>
        <x:v>RC</x:v>
      </x:c>
      <x:c r="D330" s="10"/>
      <x:c r="E330" s="4" t="s">
        <x:v>16</x:v>
      </x:c>
      <x:c r="F330" s="4" t="n">
        <x:v>3</x:v>
      </x:c>
      <x:c r="G330" s="5" t="s">
        <x:v>51</x:v>
      </x:c>
      <x:c r="H330" s="4" t="s">
        <x:v>52</x:v>
      </x:c>
      <x:c r="I330" s="10"/>
      <x:c r="J330" s="10"/>
      <x:c r="K330" s="10"/>
      <x:c r="L330" s="10"/>
      <x:c r="M330" s="1" t="str">
        <x:f aca="0">C330&amp;"|"&amp;E330&amp;"|"&amp;F330&amp;"|"&amp;G330</x:f>
        <x:v>RC|V05|3|教育背景</x:v>
      </x:c>
    </x:row>
    <x:row r="331" ht="16.5" hidden="0" customHeight="1">
      <x:c r="A331" s="4" t="str">
        <x:f aca="0">C331&amp;"-"&amp;E331&amp;"-R"&amp;F331</x:f>
        <x:v>RC-V05-R3</x:v>
      </x:c>
      <x:c r="B331" s="10"/>
      <x:c r="C331" s="4" t="str">
        <x:f aca="0">Reference!$B$3</x:f>
        <x:v>RC</x:v>
      </x:c>
      <x:c r="D331" s="10"/>
      <x:c r="E331" s="4" t="s">
        <x:v>16</x:v>
      </x:c>
      <x:c r="F331" s="4" t="n">
        <x:v>3</x:v>
      </x:c>
      <x:c r="G331" s="5" t="s">
        <x:v>53</x:v>
      </x:c>
      <x:c r="H331" s="4" t="s">
        <x:v>54</x:v>
      </x:c>
      <x:c r="I331" s="10"/>
      <x:c r="J331" s="10"/>
      <x:c r="K331" s="10"/>
      <x:c r="L331" s="10"/>
      <x:c r="M331" s="1" t="str">
        <x:f aca="0">C331&amp;"|"&amp;E331&amp;"|"&amp;F331&amp;"|"&amp;G331</x:f>
        <x:v>RC|V05|3|技能识别数量</x:v>
      </x:c>
    </x:row>
    <x:row r="332" ht="16.5" hidden="0" customHeight="1">
      <x:c r="A332" s="11" t="str">
        <x:f aca="0">C332&amp;"-"&amp;E332&amp;"-R"&amp;F332</x:f>
        <x:v>RC-V06-R1</x:v>
      </x:c>
      <x:c r="B332" s="10"/>
      <x:c r="C332" s="11" t="str">
        <x:f aca="0">Reference!$B$3</x:f>
        <x:v>RC</x:v>
      </x:c>
      <x:c r="D332" s="10"/>
      <x:c r="E332" s="11" t="s">
        <x:v>18</x:v>
      </x:c>
      <x:c r="F332" s="11" t="n">
        <x:v>1</x:v>
      </x:c>
      <x:c r="G332" s="12" t="s">
        <x:v>35</x:v>
      </x:c>
      <x:c r="H332" s="11" t="s">
        <x:v>36</x:v>
      </x:c>
      <x:c r="I332" s="10"/>
      <x:c r="J332" s="10"/>
      <x:c r="K332" s="10"/>
      <x:c r="L332" s="10"/>
      <x:c r="M332" s="1" t="str">
        <x:f aca="0">C332&amp;"|"&amp;E332&amp;"|"&amp;F332&amp;"|"&amp;G332</x:f>
        <x:v>RC|V06|1|姓名</x:v>
      </x:c>
    </x:row>
    <x:row r="333" ht="16.5" hidden="0" customHeight="1">
      <x:c r="A333" s="11" t="str">
        <x:f aca="0">C333&amp;"-"&amp;E333&amp;"-R"&amp;F333</x:f>
        <x:v>RC-V06-R1</x:v>
      </x:c>
      <x:c r="B333" s="10"/>
      <x:c r="C333" s="11" t="str">
        <x:f aca="0">Reference!$B$3</x:f>
        <x:v>RC</x:v>
      </x:c>
      <x:c r="D333" s="10"/>
      <x:c r="E333" s="11" t="s">
        <x:v>18</x:v>
      </x:c>
      <x:c r="F333" s="11" t="n">
        <x:v>1</x:v>
      </x:c>
      <x:c r="G333" s="12" t="s">
        <x:v>37</x:v>
      </x:c>
      <x:c r="H333" s="11" t="s">
        <x:v>38</x:v>
      </x:c>
      <x:c r="I333" s="10"/>
      <x:c r="J333" s="10"/>
      <x:c r="K333" s="10"/>
      <x:c r="L333" s="10"/>
      <x:c r="M333" s="1" t="str">
        <x:f aca="0">C333&amp;"|"&amp;E333&amp;"|"&amp;F333&amp;"|"&amp;G333</x:f>
        <x:v>RC|V06|1|邮箱</x:v>
      </x:c>
    </x:row>
    <x:row r="334" ht="16.5" hidden="0" customHeight="1">
      <x:c r="A334" s="11" t="str">
        <x:f aca="0">C334&amp;"-"&amp;E334&amp;"-R"&amp;F334</x:f>
        <x:v>RC-V06-R1</x:v>
      </x:c>
      <x:c r="B334" s="10"/>
      <x:c r="C334" s="11" t="str">
        <x:f aca="0">Reference!$B$3</x:f>
        <x:v>RC</x:v>
      </x:c>
      <x:c r="D334" s="10"/>
      <x:c r="E334" s="11" t="s">
        <x:v>18</x:v>
      </x:c>
      <x:c r="F334" s="11" t="n">
        <x:v>1</x:v>
      </x:c>
      <x:c r="G334" s="12" t="s">
        <x:v>39</x:v>
      </x:c>
      <x:c r="H334" s="11" t="s">
        <x:v>40</x:v>
      </x:c>
      <x:c r="I334" s="10"/>
      <x:c r="J334" s="10"/>
      <x:c r="K334" s="10"/>
      <x:c r="L334" s="10"/>
      <x:c r="M334" s="1" t="str">
        <x:f aca="0">C334&amp;"|"&amp;E334&amp;"|"&amp;F334&amp;"|"&amp;G334</x:f>
        <x:v>RC|V06|1|电话</x:v>
      </x:c>
    </x:row>
    <x:row r="335" ht="16.5" hidden="0" customHeight="1">
      <x:c r="A335" s="11" t="str">
        <x:f aca="0">C335&amp;"-"&amp;E335&amp;"-R"&amp;F335</x:f>
        <x:v>RC-V06-R1</x:v>
      </x:c>
      <x:c r="B335" s="10"/>
      <x:c r="C335" s="11" t="str">
        <x:f aca="0">Reference!$B$3</x:f>
        <x:v>RC</x:v>
      </x:c>
      <x:c r="D335" s="10"/>
      <x:c r="E335" s="11" t="s">
        <x:v>18</x:v>
      </x:c>
      <x:c r="F335" s="11" t="n">
        <x:v>1</x:v>
      </x:c>
      <x:c r="G335" s="12" t="s">
        <x:v>41</x:v>
      </x:c>
      <x:c r="H335" s="11" t="s">
        <x:v>42</x:v>
      </x:c>
      <x:c r="I335" s="10"/>
      <x:c r="J335" s="10"/>
      <x:c r="K335" s="10"/>
      <x:c r="L335" s="10"/>
      <x:c r="M335" s="1" t="str">
        <x:f aca="0">C335&amp;"|"&amp;E335&amp;"|"&amp;F335&amp;"|"&amp;G335</x:f>
        <x:v>RC|V06|1|城市</x:v>
      </x:c>
    </x:row>
    <x:row r="336" ht="16.5" hidden="0" customHeight="1">
      <x:c r="A336" s="11" t="str">
        <x:f aca="0">C336&amp;"-"&amp;E336&amp;"-R"&amp;F336</x:f>
        <x:v>RC-V06-R1</x:v>
      </x:c>
      <x:c r="B336" s="10"/>
      <x:c r="C336" s="11" t="str">
        <x:f aca="0">Reference!$B$3</x:f>
        <x:v>RC</x:v>
      </x:c>
      <x:c r="D336" s="10"/>
      <x:c r="E336" s="11" t="s">
        <x:v>18</x:v>
      </x:c>
      <x:c r="F336" s="11" t="n">
        <x:v>1</x:v>
      </x:c>
      <x:c r="G336" s="12" t="s">
        <x:v>43</x:v>
      </x:c>
      <x:c r="H336" s="11" t="s">
        <x:v>44</x:v>
      </x:c>
      <x:c r="I336" s="10"/>
      <x:c r="J336" s="10"/>
      <x:c r="K336" s="10"/>
      <x:c r="L336" s="10"/>
      <x:c r="M336" s="1" t="str">
        <x:f aca="0">C336&amp;"|"&amp;E336&amp;"|"&amp;F336&amp;"|"&amp;G336</x:f>
        <x:v>RC|V06|1|最近公司</x:v>
      </x:c>
    </x:row>
    <x:row r="337" ht="16.5" hidden="0" customHeight="1">
      <x:c r="A337" s="11" t="str">
        <x:f aca="0">C337&amp;"-"&amp;E337&amp;"-R"&amp;F337</x:f>
        <x:v>RC-V06-R1</x:v>
      </x:c>
      <x:c r="B337" s="10"/>
      <x:c r="C337" s="11" t="str">
        <x:f aca="0">Reference!$B$3</x:f>
        <x:v>RC</x:v>
      </x:c>
      <x:c r="D337" s="10"/>
      <x:c r="E337" s="11" t="s">
        <x:v>18</x:v>
      </x:c>
      <x:c r="F337" s="11" t="n">
        <x:v>1</x:v>
      </x:c>
      <x:c r="G337" s="12" t="s">
        <x:v>45</x:v>
      </x:c>
      <x:c r="H337" s="11" t="s">
        <x:v>46</x:v>
      </x:c>
      <x:c r="I337" s="10"/>
      <x:c r="J337" s="10"/>
      <x:c r="K337" s="10"/>
      <x:c r="L337" s="10"/>
      <x:c r="M337" s="1" t="str">
        <x:f aca="0">C337&amp;"|"&amp;E337&amp;"|"&amp;F337&amp;"|"&amp;G337</x:f>
        <x:v>RC|V06|1|最近职位头衔</x:v>
      </x:c>
    </x:row>
    <x:row r="338" ht="16.5" hidden="0" customHeight="1">
      <x:c r="A338" s="11" t="str">
        <x:f aca="0">C338&amp;"-"&amp;E338&amp;"-R"&amp;F338</x:f>
        <x:v>RC-V06-R1</x:v>
      </x:c>
      <x:c r="B338" s="10"/>
      <x:c r="C338" s="11" t="str">
        <x:f aca="0">Reference!$B$3</x:f>
        <x:v>RC</x:v>
      </x:c>
      <x:c r="D338" s="10"/>
      <x:c r="E338" s="11" t="s">
        <x:v>18</x:v>
      </x:c>
      <x:c r="F338" s="11" t="n">
        <x:v>1</x:v>
      </x:c>
      <x:c r="G338" s="12" t="s">
        <x:v>47</x:v>
      </x:c>
      <x:c r="H338" s="11" t="s">
        <x:v>48</x:v>
      </x:c>
      <x:c r="I338" s="10"/>
      <x:c r="J338" s="10"/>
      <x:c r="K338" s="10"/>
      <x:c r="L338" s="10"/>
      <x:c r="M338" s="1" t="str">
        <x:f aca="0">C338&amp;"|"&amp;E338&amp;"|"&amp;F338&amp;"|"&amp;G338</x:f>
        <x:v>RC|V06|1|工作经历条数</x:v>
      </x:c>
    </x:row>
    <x:row r="339" ht="16.5" hidden="0" customHeight="1">
      <x:c r="A339" s="11" t="str">
        <x:f aca="0">C339&amp;"-"&amp;E339&amp;"-R"&amp;F339</x:f>
        <x:v>RC-V06-R1</x:v>
      </x:c>
      <x:c r="B339" s="10"/>
      <x:c r="C339" s="11" t="str">
        <x:f aca="0">Reference!$B$3</x:f>
        <x:v>RC</x:v>
      </x:c>
      <x:c r="D339" s="10"/>
      <x:c r="E339" s="11" t="s">
        <x:v>18</x:v>
      </x:c>
      <x:c r="F339" s="11" t="n">
        <x:v>1</x:v>
      </x:c>
      <x:c r="G339" s="12" t="s">
        <x:v>49</x:v>
      </x:c>
      <x:c r="H339" s="11" t="s">
        <x:v>50</x:v>
      </x:c>
      <x:c r="I339" s="10"/>
      <x:c r="J339" s="10"/>
      <x:c r="K339" s="10"/>
      <x:c r="L339" s="10"/>
      <x:c r="M339" s="1" t="str">
        <x:f aca="0">C339&amp;"|"&amp;E339&amp;"|"&amp;F339&amp;"|"&amp;G339</x:f>
        <x:v>RC|V06|1|起止日期</x:v>
      </x:c>
    </x:row>
    <x:row r="340" ht="16.5" hidden="0" customHeight="1">
      <x:c r="A340" s="11" t="str">
        <x:f aca="0">C340&amp;"-"&amp;E340&amp;"-R"&amp;F340</x:f>
        <x:v>RC-V06-R1</x:v>
      </x:c>
      <x:c r="B340" s="10"/>
      <x:c r="C340" s="11" t="str">
        <x:f aca="0">Reference!$B$3</x:f>
        <x:v>RC</x:v>
      </x:c>
      <x:c r="D340" s="10"/>
      <x:c r="E340" s="11" t="s">
        <x:v>18</x:v>
      </x:c>
      <x:c r="F340" s="11" t="n">
        <x:v>1</x:v>
      </x:c>
      <x:c r="G340" s="12" t="s">
        <x:v>51</x:v>
      </x:c>
      <x:c r="H340" s="11" t="s">
        <x:v>52</x:v>
      </x:c>
      <x:c r="I340" s="10"/>
      <x:c r="J340" s="10"/>
      <x:c r="K340" s="10"/>
      <x:c r="L340" s="10"/>
      <x:c r="M340" s="1" t="str">
        <x:f aca="0">C340&amp;"|"&amp;E340&amp;"|"&amp;F340&amp;"|"&amp;G340</x:f>
        <x:v>RC|V06|1|教育背景</x:v>
      </x:c>
    </x:row>
    <x:row r="341" ht="16.5" hidden="0" customHeight="1">
      <x:c r="A341" s="11" t="str">
        <x:f aca="0">C341&amp;"-"&amp;E341&amp;"-R"&amp;F341</x:f>
        <x:v>RC-V06-R1</x:v>
      </x:c>
      <x:c r="B341" s="10"/>
      <x:c r="C341" s="11" t="str">
        <x:f aca="0">Reference!$B$3</x:f>
        <x:v>RC</x:v>
      </x:c>
      <x:c r="D341" s="10"/>
      <x:c r="E341" s="11" t="s">
        <x:v>18</x:v>
      </x:c>
      <x:c r="F341" s="11" t="n">
        <x:v>1</x:v>
      </x:c>
      <x:c r="G341" s="12" t="s">
        <x:v>53</x:v>
      </x:c>
      <x:c r="H341" s="11" t="s">
        <x:v>54</x:v>
      </x:c>
      <x:c r="I341" s="10"/>
      <x:c r="J341" s="10"/>
      <x:c r="K341" s="10"/>
      <x:c r="L341" s="10"/>
      <x:c r="M341" s="1" t="str">
        <x:f aca="0">C341&amp;"|"&amp;E341&amp;"|"&amp;F341&amp;"|"&amp;G341</x:f>
        <x:v>RC|V06|1|技能识别数量</x:v>
      </x:c>
    </x:row>
    <x:row r="342" ht="16.5" hidden="0" customHeight="1">
      <x:c r="A342" s="11" t="str">
        <x:f aca="0">C342&amp;"-"&amp;E342&amp;"-R"&amp;F342</x:f>
        <x:v>RC-V06-R2</x:v>
      </x:c>
      <x:c r="B342" s="10"/>
      <x:c r="C342" s="11" t="str">
        <x:f aca="0">Reference!$B$3</x:f>
        <x:v>RC</x:v>
      </x:c>
      <x:c r="D342" s="10"/>
      <x:c r="E342" s="11" t="s">
        <x:v>18</x:v>
      </x:c>
      <x:c r="F342" s="11" t="n">
        <x:v>2</x:v>
      </x:c>
      <x:c r="G342" s="12" t="s">
        <x:v>35</x:v>
      </x:c>
      <x:c r="H342" s="11" t="s">
        <x:v>36</x:v>
      </x:c>
      <x:c r="I342" s="10"/>
      <x:c r="J342" s="10"/>
      <x:c r="K342" s="10"/>
      <x:c r="L342" s="10"/>
      <x:c r="M342" s="1" t="str">
        <x:f aca="0">C342&amp;"|"&amp;E342&amp;"|"&amp;F342&amp;"|"&amp;G342</x:f>
        <x:v>RC|V06|2|姓名</x:v>
      </x:c>
    </x:row>
    <x:row r="343" ht="16.5" hidden="0" customHeight="1">
      <x:c r="A343" s="11" t="str">
        <x:f aca="0">C343&amp;"-"&amp;E343&amp;"-R"&amp;F343</x:f>
        <x:v>RC-V06-R2</x:v>
      </x:c>
      <x:c r="B343" s="10"/>
      <x:c r="C343" s="11" t="str">
        <x:f aca="0">Reference!$B$3</x:f>
        <x:v>RC</x:v>
      </x:c>
      <x:c r="D343" s="10"/>
      <x:c r="E343" s="11" t="s">
        <x:v>18</x:v>
      </x:c>
      <x:c r="F343" s="11" t="n">
        <x:v>2</x:v>
      </x:c>
      <x:c r="G343" s="12" t="s">
        <x:v>37</x:v>
      </x:c>
      <x:c r="H343" s="11" t="s">
        <x:v>38</x:v>
      </x:c>
      <x:c r="I343" s="10"/>
      <x:c r="J343" s="10"/>
      <x:c r="K343" s="10"/>
      <x:c r="L343" s="10"/>
      <x:c r="M343" s="1" t="str">
        <x:f aca="0">C343&amp;"|"&amp;E343&amp;"|"&amp;F343&amp;"|"&amp;G343</x:f>
        <x:v>RC|V06|2|邮箱</x:v>
      </x:c>
    </x:row>
    <x:row r="344" ht="16.5" hidden="0" customHeight="1">
      <x:c r="A344" s="11" t="str">
        <x:f aca="0">C344&amp;"-"&amp;E344&amp;"-R"&amp;F344</x:f>
        <x:v>RC-V06-R2</x:v>
      </x:c>
      <x:c r="B344" s="10"/>
      <x:c r="C344" s="11" t="str">
        <x:f aca="0">Reference!$B$3</x:f>
        <x:v>RC</x:v>
      </x:c>
      <x:c r="D344" s="10"/>
      <x:c r="E344" s="11" t="s">
        <x:v>18</x:v>
      </x:c>
      <x:c r="F344" s="11" t="n">
        <x:v>2</x:v>
      </x:c>
      <x:c r="G344" s="12" t="s">
        <x:v>39</x:v>
      </x:c>
      <x:c r="H344" s="11" t="s">
        <x:v>40</x:v>
      </x:c>
      <x:c r="I344" s="10"/>
      <x:c r="J344" s="10"/>
      <x:c r="K344" s="10"/>
      <x:c r="L344" s="10"/>
      <x:c r="M344" s="1" t="str">
        <x:f aca="0">C344&amp;"|"&amp;E344&amp;"|"&amp;F344&amp;"|"&amp;G344</x:f>
        <x:v>RC|V06|2|电话</x:v>
      </x:c>
    </x:row>
    <x:row r="345" ht="16.5" hidden="0" customHeight="1">
      <x:c r="A345" s="11" t="str">
        <x:f aca="0">C345&amp;"-"&amp;E345&amp;"-R"&amp;F345</x:f>
        <x:v>RC-V06-R2</x:v>
      </x:c>
      <x:c r="B345" s="10"/>
      <x:c r="C345" s="11" t="str">
        <x:f aca="0">Reference!$B$3</x:f>
        <x:v>RC</x:v>
      </x:c>
      <x:c r="D345" s="10"/>
      <x:c r="E345" s="11" t="s">
        <x:v>18</x:v>
      </x:c>
      <x:c r="F345" s="11" t="n">
        <x:v>2</x:v>
      </x:c>
      <x:c r="G345" s="12" t="s">
        <x:v>41</x:v>
      </x:c>
      <x:c r="H345" s="11" t="s">
        <x:v>42</x:v>
      </x:c>
      <x:c r="I345" s="10"/>
      <x:c r="J345" s="10"/>
      <x:c r="K345" s="10"/>
      <x:c r="L345" s="10"/>
      <x:c r="M345" s="1" t="str">
        <x:f aca="0">C345&amp;"|"&amp;E345&amp;"|"&amp;F345&amp;"|"&amp;G345</x:f>
        <x:v>RC|V06|2|城市</x:v>
      </x:c>
    </x:row>
    <x:row r="346" ht="16.5" hidden="0" customHeight="1">
      <x:c r="A346" s="11" t="str">
        <x:f aca="0">C346&amp;"-"&amp;E346&amp;"-R"&amp;F346</x:f>
        <x:v>RC-V06-R2</x:v>
      </x:c>
      <x:c r="B346" s="10"/>
      <x:c r="C346" s="11" t="str">
        <x:f aca="0">Reference!$B$3</x:f>
        <x:v>RC</x:v>
      </x:c>
      <x:c r="D346" s="10"/>
      <x:c r="E346" s="11" t="s">
        <x:v>18</x:v>
      </x:c>
      <x:c r="F346" s="11" t="n">
        <x:v>2</x:v>
      </x:c>
      <x:c r="G346" s="12" t="s">
        <x:v>43</x:v>
      </x:c>
      <x:c r="H346" s="11" t="s">
        <x:v>44</x:v>
      </x:c>
      <x:c r="I346" s="10"/>
      <x:c r="J346" s="10"/>
      <x:c r="K346" s="10"/>
      <x:c r="L346" s="10"/>
      <x:c r="M346" s="1" t="str">
        <x:f aca="0">C346&amp;"|"&amp;E346&amp;"|"&amp;F346&amp;"|"&amp;G346</x:f>
        <x:v>RC|V06|2|最近公司</x:v>
      </x:c>
    </x:row>
    <x:row r="347" ht="16.5" hidden="0" customHeight="1">
      <x:c r="A347" s="11" t="str">
        <x:f aca="0">C347&amp;"-"&amp;E347&amp;"-R"&amp;F347</x:f>
        <x:v>RC-V06-R2</x:v>
      </x:c>
      <x:c r="B347" s="10"/>
      <x:c r="C347" s="11" t="str">
        <x:f aca="0">Reference!$B$3</x:f>
        <x:v>RC</x:v>
      </x:c>
      <x:c r="D347" s="10"/>
      <x:c r="E347" s="11" t="s">
        <x:v>18</x:v>
      </x:c>
      <x:c r="F347" s="11" t="n">
        <x:v>2</x:v>
      </x:c>
      <x:c r="G347" s="12" t="s">
        <x:v>45</x:v>
      </x:c>
      <x:c r="H347" s="11" t="s">
        <x:v>46</x:v>
      </x:c>
      <x:c r="I347" s="10"/>
      <x:c r="J347" s="10"/>
      <x:c r="K347" s="10"/>
      <x:c r="L347" s="10"/>
      <x:c r="M347" s="1" t="str">
        <x:f aca="0">C347&amp;"|"&amp;E347&amp;"|"&amp;F347&amp;"|"&amp;G347</x:f>
        <x:v>RC|V06|2|最近职位头衔</x:v>
      </x:c>
    </x:row>
    <x:row r="348" ht="16.5" hidden="0" customHeight="1">
      <x:c r="A348" s="11" t="str">
        <x:f aca="0">C348&amp;"-"&amp;E348&amp;"-R"&amp;F348</x:f>
        <x:v>RC-V06-R2</x:v>
      </x:c>
      <x:c r="B348" s="10"/>
      <x:c r="C348" s="11" t="str">
        <x:f aca="0">Reference!$B$3</x:f>
        <x:v>RC</x:v>
      </x:c>
      <x:c r="D348" s="10"/>
      <x:c r="E348" s="11" t="s">
        <x:v>18</x:v>
      </x:c>
      <x:c r="F348" s="11" t="n">
        <x:v>2</x:v>
      </x:c>
      <x:c r="G348" s="12" t="s">
        <x:v>47</x:v>
      </x:c>
      <x:c r="H348" s="11" t="s">
        <x:v>48</x:v>
      </x:c>
      <x:c r="I348" s="10"/>
      <x:c r="J348" s="10"/>
      <x:c r="K348" s="10"/>
      <x:c r="L348" s="10"/>
      <x:c r="M348" s="1" t="str">
        <x:f aca="0">C348&amp;"|"&amp;E348&amp;"|"&amp;F348&amp;"|"&amp;G348</x:f>
        <x:v>RC|V06|2|工作经历条数</x:v>
      </x:c>
    </x:row>
    <x:row r="349" ht="16.5" hidden="0" customHeight="1">
      <x:c r="A349" s="11" t="str">
        <x:f aca="0">C349&amp;"-"&amp;E349&amp;"-R"&amp;F349</x:f>
        <x:v>RC-V06-R2</x:v>
      </x:c>
      <x:c r="B349" s="10"/>
      <x:c r="C349" s="11" t="str">
        <x:f aca="0">Reference!$B$3</x:f>
        <x:v>RC</x:v>
      </x:c>
      <x:c r="D349" s="10"/>
      <x:c r="E349" s="11" t="s">
        <x:v>18</x:v>
      </x:c>
      <x:c r="F349" s="11" t="n">
        <x:v>2</x:v>
      </x:c>
      <x:c r="G349" s="12" t="s">
        <x:v>49</x:v>
      </x:c>
      <x:c r="H349" s="11" t="s">
        <x:v>50</x:v>
      </x:c>
      <x:c r="I349" s="10"/>
      <x:c r="J349" s="10"/>
      <x:c r="K349" s="10"/>
      <x:c r="L349" s="10"/>
      <x:c r="M349" s="1" t="str">
        <x:f aca="0">C349&amp;"|"&amp;E349&amp;"|"&amp;F349&amp;"|"&amp;G349</x:f>
        <x:v>RC|V06|2|起止日期</x:v>
      </x:c>
    </x:row>
    <x:row r="350" ht="16.5" hidden="0" customHeight="1">
      <x:c r="A350" s="11" t="str">
        <x:f aca="0">C350&amp;"-"&amp;E350&amp;"-R"&amp;F350</x:f>
        <x:v>RC-V06-R2</x:v>
      </x:c>
      <x:c r="B350" s="10"/>
      <x:c r="C350" s="11" t="str">
        <x:f aca="0">Reference!$B$3</x:f>
        <x:v>RC</x:v>
      </x:c>
      <x:c r="D350" s="10"/>
      <x:c r="E350" s="11" t="s">
        <x:v>18</x:v>
      </x:c>
      <x:c r="F350" s="11" t="n">
        <x:v>2</x:v>
      </x:c>
      <x:c r="G350" s="12" t="s">
        <x:v>51</x:v>
      </x:c>
      <x:c r="H350" s="11" t="s">
        <x:v>52</x:v>
      </x:c>
      <x:c r="I350" s="10"/>
      <x:c r="J350" s="10"/>
      <x:c r="K350" s="10"/>
      <x:c r="L350" s="10"/>
      <x:c r="M350" s="1" t="str">
        <x:f aca="0">C350&amp;"|"&amp;E350&amp;"|"&amp;F350&amp;"|"&amp;G350</x:f>
        <x:v>RC|V06|2|教育背景</x:v>
      </x:c>
    </x:row>
    <x:row r="351" ht="16.5" hidden="0" customHeight="1">
      <x:c r="A351" s="11" t="str">
        <x:f aca="0">C351&amp;"-"&amp;E351&amp;"-R"&amp;F351</x:f>
        <x:v>RC-V06-R2</x:v>
      </x:c>
      <x:c r="B351" s="10"/>
      <x:c r="C351" s="11" t="str">
        <x:f aca="0">Reference!$B$3</x:f>
        <x:v>RC</x:v>
      </x:c>
      <x:c r="D351" s="10"/>
      <x:c r="E351" s="11" t="s">
        <x:v>18</x:v>
      </x:c>
      <x:c r="F351" s="11" t="n">
        <x:v>2</x:v>
      </x:c>
      <x:c r="G351" s="12" t="s">
        <x:v>53</x:v>
      </x:c>
      <x:c r="H351" s="11" t="s">
        <x:v>54</x:v>
      </x:c>
      <x:c r="I351" s="10"/>
      <x:c r="J351" s="10"/>
      <x:c r="K351" s="10"/>
      <x:c r="L351" s="10"/>
      <x:c r="M351" s="1" t="str">
        <x:f aca="0">C351&amp;"|"&amp;E351&amp;"|"&amp;F351&amp;"|"&amp;G351</x:f>
        <x:v>RC|V06|2|技能识别数量</x:v>
      </x:c>
    </x:row>
    <x:row r="352" ht="16.5" hidden="0" customHeight="1">
      <x:c r="A352" s="11" t="str">
        <x:f aca="0">C352&amp;"-"&amp;E352&amp;"-R"&amp;F352</x:f>
        <x:v>RC-V06-R3</x:v>
      </x:c>
      <x:c r="B352" s="10"/>
      <x:c r="C352" s="11" t="str">
        <x:f aca="0">Reference!$B$3</x:f>
        <x:v>RC</x:v>
      </x:c>
      <x:c r="D352" s="10"/>
      <x:c r="E352" s="11" t="s">
        <x:v>18</x:v>
      </x:c>
      <x:c r="F352" s="11" t="n">
        <x:v>3</x:v>
      </x:c>
      <x:c r="G352" s="12" t="s">
        <x:v>35</x:v>
      </x:c>
      <x:c r="H352" s="11" t="s">
        <x:v>36</x:v>
      </x:c>
      <x:c r="I352" s="10"/>
      <x:c r="J352" s="10"/>
      <x:c r="K352" s="10"/>
      <x:c r="L352" s="10"/>
      <x:c r="M352" s="1" t="str">
        <x:f aca="0">C352&amp;"|"&amp;E352&amp;"|"&amp;F352&amp;"|"&amp;G352</x:f>
        <x:v>RC|V06|3|姓名</x:v>
      </x:c>
    </x:row>
    <x:row r="353" ht="16.5" hidden="0" customHeight="1">
      <x:c r="A353" s="11" t="str">
        <x:f aca="0">C353&amp;"-"&amp;E353&amp;"-R"&amp;F353</x:f>
        <x:v>RC-V06-R3</x:v>
      </x:c>
      <x:c r="B353" s="10"/>
      <x:c r="C353" s="11" t="str">
        <x:f aca="0">Reference!$B$3</x:f>
        <x:v>RC</x:v>
      </x:c>
      <x:c r="D353" s="10"/>
      <x:c r="E353" s="11" t="s">
        <x:v>18</x:v>
      </x:c>
      <x:c r="F353" s="11" t="n">
        <x:v>3</x:v>
      </x:c>
      <x:c r="G353" s="12" t="s">
        <x:v>37</x:v>
      </x:c>
      <x:c r="H353" s="11" t="s">
        <x:v>38</x:v>
      </x:c>
      <x:c r="I353" s="10"/>
      <x:c r="J353" s="10"/>
      <x:c r="K353" s="10"/>
      <x:c r="L353" s="10"/>
      <x:c r="M353" s="1" t="str">
        <x:f aca="0">C353&amp;"|"&amp;E353&amp;"|"&amp;F353&amp;"|"&amp;G353</x:f>
        <x:v>RC|V06|3|邮箱</x:v>
      </x:c>
    </x:row>
    <x:row r="354" ht="16.5" hidden="0" customHeight="1">
      <x:c r="A354" s="11" t="str">
        <x:f aca="0">C354&amp;"-"&amp;E354&amp;"-R"&amp;F354</x:f>
        <x:v>RC-V06-R3</x:v>
      </x:c>
      <x:c r="B354" s="10"/>
      <x:c r="C354" s="11" t="str">
        <x:f aca="0">Reference!$B$3</x:f>
        <x:v>RC</x:v>
      </x:c>
      <x:c r="D354" s="10"/>
      <x:c r="E354" s="11" t="s">
        <x:v>18</x:v>
      </x:c>
      <x:c r="F354" s="11" t="n">
        <x:v>3</x:v>
      </x:c>
      <x:c r="G354" s="12" t="s">
        <x:v>39</x:v>
      </x:c>
      <x:c r="H354" s="11" t="s">
        <x:v>40</x:v>
      </x:c>
      <x:c r="I354" s="10"/>
      <x:c r="J354" s="10"/>
      <x:c r="K354" s="10"/>
      <x:c r="L354" s="10"/>
      <x:c r="M354" s="1" t="str">
        <x:f aca="0">C354&amp;"|"&amp;E354&amp;"|"&amp;F354&amp;"|"&amp;G354</x:f>
        <x:v>RC|V06|3|电话</x:v>
      </x:c>
    </x:row>
    <x:row r="355" ht="16.5" hidden="0" customHeight="1">
      <x:c r="A355" s="11" t="str">
        <x:f aca="0">C355&amp;"-"&amp;E355&amp;"-R"&amp;F355</x:f>
        <x:v>RC-V06-R3</x:v>
      </x:c>
      <x:c r="B355" s="10"/>
      <x:c r="C355" s="11" t="str">
        <x:f aca="0">Reference!$B$3</x:f>
        <x:v>RC</x:v>
      </x:c>
      <x:c r="D355" s="10"/>
      <x:c r="E355" s="11" t="s">
        <x:v>18</x:v>
      </x:c>
      <x:c r="F355" s="11" t="n">
        <x:v>3</x:v>
      </x:c>
      <x:c r="G355" s="12" t="s">
        <x:v>41</x:v>
      </x:c>
      <x:c r="H355" s="11" t="s">
        <x:v>42</x:v>
      </x:c>
      <x:c r="I355" s="10"/>
      <x:c r="J355" s="10"/>
      <x:c r="K355" s="10"/>
      <x:c r="L355" s="10"/>
      <x:c r="M355" s="1" t="str">
        <x:f aca="0">C355&amp;"|"&amp;E355&amp;"|"&amp;F355&amp;"|"&amp;G355</x:f>
        <x:v>RC|V06|3|城市</x:v>
      </x:c>
    </x:row>
    <x:row r="356" ht="16.5" hidden="0" customHeight="1">
      <x:c r="A356" s="11" t="str">
        <x:f aca="0">C356&amp;"-"&amp;E356&amp;"-R"&amp;F356</x:f>
        <x:v>RC-V06-R3</x:v>
      </x:c>
      <x:c r="B356" s="10"/>
      <x:c r="C356" s="11" t="str">
        <x:f aca="0">Reference!$B$3</x:f>
        <x:v>RC</x:v>
      </x:c>
      <x:c r="D356" s="10"/>
      <x:c r="E356" s="11" t="s">
        <x:v>18</x:v>
      </x:c>
      <x:c r="F356" s="11" t="n">
        <x:v>3</x:v>
      </x:c>
      <x:c r="G356" s="12" t="s">
        <x:v>43</x:v>
      </x:c>
      <x:c r="H356" s="11" t="s">
        <x:v>44</x:v>
      </x:c>
      <x:c r="I356" s="10"/>
      <x:c r="J356" s="10"/>
      <x:c r="K356" s="10"/>
      <x:c r="L356" s="10"/>
      <x:c r="M356" s="1" t="str">
        <x:f aca="0">C356&amp;"|"&amp;E356&amp;"|"&amp;F356&amp;"|"&amp;G356</x:f>
        <x:v>RC|V06|3|最近公司</x:v>
      </x:c>
    </x:row>
    <x:row r="357" ht="16.5" hidden="0" customHeight="1">
      <x:c r="A357" s="11" t="str">
        <x:f aca="0">C357&amp;"-"&amp;E357&amp;"-R"&amp;F357</x:f>
        <x:v>RC-V06-R3</x:v>
      </x:c>
      <x:c r="B357" s="10"/>
      <x:c r="C357" s="11" t="str">
        <x:f aca="0">Reference!$B$3</x:f>
        <x:v>RC</x:v>
      </x:c>
      <x:c r="D357" s="10"/>
      <x:c r="E357" s="11" t="s">
        <x:v>18</x:v>
      </x:c>
      <x:c r="F357" s="11" t="n">
        <x:v>3</x:v>
      </x:c>
      <x:c r="G357" s="12" t="s">
        <x:v>45</x:v>
      </x:c>
      <x:c r="H357" s="11" t="s">
        <x:v>46</x:v>
      </x:c>
      <x:c r="I357" s="10"/>
      <x:c r="J357" s="10"/>
      <x:c r="K357" s="10"/>
      <x:c r="L357" s="10"/>
      <x:c r="M357" s="1" t="str">
        <x:f aca="0">C357&amp;"|"&amp;E357&amp;"|"&amp;F357&amp;"|"&amp;G357</x:f>
        <x:v>RC|V06|3|最近职位头衔</x:v>
      </x:c>
    </x:row>
    <x:row r="358" ht="16.5" hidden="0" customHeight="1">
      <x:c r="A358" s="11" t="str">
        <x:f aca="0">C358&amp;"-"&amp;E358&amp;"-R"&amp;F358</x:f>
        <x:v>RC-V06-R3</x:v>
      </x:c>
      <x:c r="B358" s="10"/>
      <x:c r="C358" s="11" t="str">
        <x:f aca="0">Reference!$B$3</x:f>
        <x:v>RC</x:v>
      </x:c>
      <x:c r="D358" s="10"/>
      <x:c r="E358" s="11" t="s">
        <x:v>18</x:v>
      </x:c>
      <x:c r="F358" s="11" t="n">
        <x:v>3</x:v>
      </x:c>
      <x:c r="G358" s="12" t="s">
        <x:v>47</x:v>
      </x:c>
      <x:c r="H358" s="11" t="s">
        <x:v>48</x:v>
      </x:c>
      <x:c r="I358" s="10"/>
      <x:c r="J358" s="10"/>
      <x:c r="K358" s="10"/>
      <x:c r="L358" s="10"/>
      <x:c r="M358" s="1" t="str">
        <x:f aca="0">C358&amp;"|"&amp;E358&amp;"|"&amp;F358&amp;"|"&amp;G358</x:f>
        <x:v>RC|V06|3|工作经历条数</x:v>
      </x:c>
    </x:row>
    <x:row r="359" ht="16.5" hidden="0" customHeight="1">
      <x:c r="A359" s="11" t="str">
        <x:f aca="0">C359&amp;"-"&amp;E359&amp;"-R"&amp;F359</x:f>
        <x:v>RC-V06-R3</x:v>
      </x:c>
      <x:c r="B359" s="10"/>
      <x:c r="C359" s="11" t="str">
        <x:f aca="0">Reference!$B$3</x:f>
        <x:v>RC</x:v>
      </x:c>
      <x:c r="D359" s="10"/>
      <x:c r="E359" s="11" t="s">
        <x:v>18</x:v>
      </x:c>
      <x:c r="F359" s="11" t="n">
        <x:v>3</x:v>
      </x:c>
      <x:c r="G359" s="12" t="s">
        <x:v>49</x:v>
      </x:c>
      <x:c r="H359" s="11" t="s">
        <x:v>50</x:v>
      </x:c>
      <x:c r="I359" s="10"/>
      <x:c r="J359" s="10"/>
      <x:c r="K359" s="10"/>
      <x:c r="L359" s="10"/>
      <x:c r="M359" s="1" t="str">
        <x:f aca="0">C359&amp;"|"&amp;E359&amp;"|"&amp;F359&amp;"|"&amp;G359</x:f>
        <x:v>RC|V06|3|起止日期</x:v>
      </x:c>
    </x:row>
    <x:row r="360" ht="16.5" hidden="0" customHeight="1">
      <x:c r="A360" s="11" t="str">
        <x:f aca="0">C360&amp;"-"&amp;E360&amp;"-R"&amp;F360</x:f>
        <x:v>RC-V06-R3</x:v>
      </x:c>
      <x:c r="B360" s="10"/>
      <x:c r="C360" s="11" t="str">
        <x:f aca="0">Reference!$B$3</x:f>
        <x:v>RC</x:v>
      </x:c>
      <x:c r="D360" s="10"/>
      <x:c r="E360" s="11" t="s">
        <x:v>18</x:v>
      </x:c>
      <x:c r="F360" s="11" t="n">
        <x:v>3</x:v>
      </x:c>
      <x:c r="G360" s="12" t="s">
        <x:v>51</x:v>
      </x:c>
      <x:c r="H360" s="11" t="s">
        <x:v>52</x:v>
      </x:c>
      <x:c r="I360" s="10"/>
      <x:c r="J360" s="10"/>
      <x:c r="K360" s="10"/>
      <x:c r="L360" s="10"/>
      <x:c r="M360" s="1" t="str">
        <x:f aca="0">C360&amp;"|"&amp;E360&amp;"|"&amp;F360&amp;"|"&amp;G360</x:f>
        <x:v>RC|V06|3|教育背景</x:v>
      </x:c>
    </x:row>
    <x:row r="361" ht="16.5" hidden="0" customHeight="1">
      <x:c r="A361" s="11" t="str">
        <x:f aca="0">C361&amp;"-"&amp;E361&amp;"-R"&amp;F361</x:f>
        <x:v>RC-V06-R3</x:v>
      </x:c>
      <x:c r="B361" s="10"/>
      <x:c r="C361" s="11" t="str">
        <x:f aca="0">Reference!$B$3</x:f>
        <x:v>RC</x:v>
      </x:c>
      <x:c r="D361" s="10"/>
      <x:c r="E361" s="11" t="s">
        <x:v>18</x:v>
      </x:c>
      <x:c r="F361" s="11" t="n">
        <x:v>3</x:v>
      </x:c>
      <x:c r="G361" s="12" t="s">
        <x:v>53</x:v>
      </x:c>
      <x:c r="H361" s="11" t="s">
        <x:v>54</x:v>
      </x:c>
      <x:c r="I361" s="10"/>
      <x:c r="J361" s="10"/>
      <x:c r="K361" s="10"/>
      <x:c r="L361" s="10"/>
      <x:c r="M361" s="1" t="str">
        <x:f aca="0">C361&amp;"|"&amp;E361&amp;"|"&amp;F361&amp;"|"&amp;G361</x:f>
        <x:v>RC|V06|3|技能识别数量</x:v>
      </x:c>
    </x:row>
    <x:row r="362" ht="48" customHeight="1">
      <x:c r="A362" t="str">
        <x:f>C362&amp;"-"&amp;E362&amp;"-R"&amp;F362</x:f>
        <x:v>GH-V01-R1</x:v>
      </x:c>
      <x:c r="B362" s="25" t="n">
        <x:v>46223</x:v>
      </x:c>
      <x:c r="C362" t="str">
        <x:v>GH</x:v>
      </x:c>
      <x:c r="D362" t="str">
        <x:v>splitero</x:v>
      </x:c>
      <x:c r="E362" t="str">
        <x:v>V01</x:v>
      </x:c>
      <x:c r="F362" t="n">
        <x:v>1</x:v>
      </x:c>
      <x:c r="G362" t="str">
        <x:v>姓名</x:v>
      </x:c>
      <x:c r="H362" t="str">
        <x:v>Alex Chen</x:v>
      </x:c>
      <x:c r="I362" s="26" t="str">
        <x:v>(manual input; auto-fill not observed)</x:v>
      </x:c>
      <x:c r="J362" s="26" t="str">
        <x:v>NA</x:v>
      </x:c>
      <x:c r="K362" s="26" t="str">
        <x:v>2026-07-20_Greenhouse_Splitero_V01_R1_提交后页面.png</x:v>
      </x:c>
      <x:c r="L362" s="26" t="str">
        <x:v>用户确认姓名/邮箱/电话为手动填写，最终值不可归因于 Greenhouse parser；简历文件已上传。截图仅含 Splitero Logo，无成功提示。</x:v>
      </x:c>
      <x:c r="M362" t="str">
        <x:f>C362&amp;"|"&amp;E362&amp;"|"&amp;F362&amp;"|"&amp;G362</x:f>
        <x:v>GH|V01|1|姓名</x:v>
      </x:c>
    </x:row>
    <x:row r="363" ht="48" customHeight="1">
      <x:c r="A363" t="str">
        <x:f>C363&amp;"-"&amp;E363&amp;"-R"&amp;F363</x:f>
        <x:v>GH-V01-R1</x:v>
      </x:c>
      <x:c r="B363" s="25" t="n">
        <x:v>46223</x:v>
      </x:c>
      <x:c r="C363" t="str">
        <x:v>GH</x:v>
      </x:c>
      <x:c r="D363" t="str">
        <x:v>splitero</x:v>
      </x:c>
      <x:c r="E363" t="str">
        <x:v>V01</x:v>
      </x:c>
      <x:c r="F363" t="n">
        <x:v>1</x:v>
      </x:c>
      <x:c r="G363" t="str">
        <x:v>邮箱</x:v>
      </x:c>
      <x:c r="H363" t="str">
        <x:v>alex.chen.swtest@careerradar.io</x:v>
      </x:c>
      <x:c r="I363" s="26" t="str">
        <x:v>(manual input; auto-fill not observed)</x:v>
      </x:c>
      <x:c r="J363" s="26" t="str">
        <x:v>NA</x:v>
      </x:c>
      <x:c r="K363" s="26" t="str">
        <x:v>2026-07-20_Greenhouse_Splitero_V01_R1_提交后页面.png</x:v>
      </x:c>
      <x:c r="L363" s="26" t="str">
        <x:v>用户确认姓名/邮箱/电话为手动填写，最终值不可归因于 Greenhouse parser；简历文件已上传。截图仅含 Splitero Logo，无成功提示。</x:v>
      </x:c>
      <x:c r="M363" t="str">
        <x:f>C363&amp;"|"&amp;E363&amp;"|"&amp;F363&amp;"|"&amp;G363</x:f>
        <x:v>GH|V01|1|邮箱</x:v>
      </x:c>
    </x:row>
    <x:row r="364" ht="48" customHeight="1">
      <x:c r="A364" t="str">
        <x:f>C364&amp;"-"&amp;E364&amp;"-R"&amp;F364</x:f>
        <x:v>GH-V01-R1</x:v>
      </x:c>
      <x:c r="B364" s="25" t="n">
        <x:v>46223</x:v>
      </x:c>
      <x:c r="C364" t="str">
        <x:v>GH</x:v>
      </x:c>
      <x:c r="D364" t="str">
        <x:v>splitero</x:v>
      </x:c>
      <x:c r="E364" t="str">
        <x:v>V01</x:v>
      </x:c>
      <x:c r="F364" t="n">
        <x:v>1</x:v>
      </x:c>
      <x:c r="G364" t="str">
        <x:v>电话</x:v>
      </x:c>
      <x:c r="H364" t="str">
        <x:v>+1 (415) 555-0142</x:v>
      </x:c>
      <x:c r="I364" s="26" t="str">
        <x:v>(manual input; auto-fill not observed)</x:v>
      </x:c>
      <x:c r="J364" s="26" t="str">
        <x:v>NA</x:v>
      </x:c>
      <x:c r="K364" s="26" t="str">
        <x:v>2026-07-20_Greenhouse_Splitero_V01_R1_提交后页面.png</x:v>
      </x:c>
      <x:c r="L364" s="26" t="str">
        <x:v>用户确认姓名/邮箱/电话为手动填写，最终值不可归因于 Greenhouse parser；简历文件已上传。截图仅含 Splitero Logo，无成功提示。</x:v>
      </x:c>
      <x:c r="M364" t="str">
        <x:f>C364&amp;"|"&amp;E364&amp;"|"&amp;F364&amp;"|"&amp;G364</x:f>
        <x:v>GH|V01|1|电话</x:v>
      </x:c>
    </x:row>
    <x:row r="365" ht="48" customHeight="1">
      <x:c r="A365" t="str">
        <x:f>C365&amp;"-"&amp;E365&amp;"-R"&amp;F365</x:f>
        <x:v>GH-V01-R1</x:v>
      </x:c>
      <x:c r="B365" s="25" t="n">
        <x:v>46223</x:v>
      </x:c>
      <x:c r="C365" t="str">
        <x:v>GH</x:v>
      </x:c>
      <x:c r="D365" t="str">
        <x:v>splitero</x:v>
      </x:c>
      <x:c r="E365" t="str">
        <x:v>V01</x:v>
      </x:c>
      <x:c r="F365" t="n">
        <x:v>1</x:v>
      </x:c>
      <x:c r="G365" t="str">
        <x:v>城市</x:v>
      </x:c>
      <x:c r="H365" t="str">
        <x:v>San Francisco, CA</x:v>
      </x:c>
      <x:c r="I365" s="26" t="str">
        <x:v>(not exposed on candidate page)</x:v>
      </x:c>
      <x:c r="J365" s="26" t="str">
        <x:v>NA</x:v>
      </x:c>
      <x:c r="K365" s="26" t="str">
        <x:v>2026-07-20_Greenhouse_Splitero_V01_R1_提交后页面.png</x:v>
      </x:c>
      <x:c r="L365" s="26" t="str">
        <x:v>Greenhouse 候选人页未展示该结构化字段，后台解析结果不可观察；不得记为解析失败。截图仅含 Splitero Logo。</x:v>
      </x:c>
      <x:c r="M365" t="str">
        <x:f>C365&amp;"|"&amp;E365&amp;"|"&amp;F365&amp;"|"&amp;G365</x:f>
        <x:v>GH|V01|1|城市</x:v>
      </x:c>
    </x:row>
    <x:row r="366" ht="48" customHeight="1">
      <x:c r="A366" t="str">
        <x:f>C366&amp;"-"&amp;E366&amp;"-R"&amp;F366</x:f>
        <x:v>GH-V01-R1</x:v>
      </x:c>
      <x:c r="B366" s="25" t="n">
        <x:v>46223</x:v>
      </x:c>
      <x:c r="C366" t="str">
        <x:v>GH</x:v>
      </x:c>
      <x:c r="D366" t="str">
        <x:v>splitero</x:v>
      </x:c>
      <x:c r="E366" t="str">
        <x:v>V01</x:v>
      </x:c>
      <x:c r="F366" t="n">
        <x:v>1</x:v>
      </x:c>
      <x:c r="G366" t="str">
        <x:v>最近公司</x:v>
      </x:c>
      <x:c r="H366" t="str">
        <x:v>Meridian Data Systems</x:v>
      </x:c>
      <x:c r="I366" s="26" t="str">
        <x:v>(not exposed on candidate page)</x:v>
      </x:c>
      <x:c r="J366" s="26" t="str">
        <x:v>NA</x:v>
      </x:c>
      <x:c r="K366" s="26" t="str">
        <x:v>2026-07-20_Greenhouse_Splitero_V01_R1_提交后页面.png</x:v>
      </x:c>
      <x:c r="L366" s="26" t="str">
        <x:v>Greenhouse 候选人页未展示该结构化字段，后台解析结果不可观察；不得记为解析失败。截图仅含 Splitero Logo。</x:v>
      </x:c>
      <x:c r="M366" t="str">
        <x:f>C366&amp;"|"&amp;E366&amp;"|"&amp;F366&amp;"|"&amp;G366</x:f>
        <x:v>GH|V01|1|最近公司</x:v>
      </x:c>
    </x:row>
    <x:row r="367" ht="48" customHeight="1">
      <x:c r="A367" t="str">
        <x:f>C367&amp;"-"&amp;E367&amp;"-R"&amp;F367</x:f>
        <x:v>GH-V01-R1</x:v>
      </x:c>
      <x:c r="B367" s="25" t="n">
        <x:v>46223</x:v>
      </x:c>
      <x:c r="C367" t="str">
        <x:v>GH</x:v>
      </x:c>
      <x:c r="D367" t="str">
        <x:v>splitero</x:v>
      </x:c>
      <x:c r="E367" t="str">
        <x:v>V01</x:v>
      </x:c>
      <x:c r="F367" t="n">
        <x:v>1</x:v>
      </x:c>
      <x:c r="G367" t="str">
        <x:v>最近职位头衔</x:v>
      </x:c>
      <x:c r="H367" t="str">
        <x:v>Senior Software Engineer</x:v>
      </x:c>
      <x:c r="I367" s="26" t="str">
        <x:v>(not exposed on candidate page)</x:v>
      </x:c>
      <x:c r="J367" s="26" t="str">
        <x:v>NA</x:v>
      </x:c>
      <x:c r="K367" s="26" t="str">
        <x:v>2026-07-20_Greenhouse_Splitero_V01_R1_提交后页面.png</x:v>
      </x:c>
      <x:c r="L367" s="26" t="str">
        <x:v>Greenhouse 候选人页未展示该结构化字段，后台解析结果不可观察；不得记为解析失败。截图仅含 Splitero Logo。</x:v>
      </x:c>
      <x:c r="M367" t="str">
        <x:f>C367&amp;"|"&amp;E367&amp;"|"&amp;F367&amp;"|"&amp;G367</x:f>
        <x:v>GH|V01|1|最近职位头衔</x:v>
      </x:c>
    </x:row>
    <x:row r="368" ht="48" customHeight="1">
      <x:c r="A368" t="str">
        <x:f>C368&amp;"-"&amp;E368&amp;"-R"&amp;F368</x:f>
        <x:v>GH-V01-R1</x:v>
      </x:c>
      <x:c r="B368" s="25" t="n">
        <x:v>46223</x:v>
      </x:c>
      <x:c r="C368" t="str">
        <x:v>GH</x:v>
      </x:c>
      <x:c r="D368" t="str">
        <x:v>splitero</x:v>
      </x:c>
      <x:c r="E368" t="str">
        <x:v>V01</x:v>
      </x:c>
      <x:c r="F368" t="n">
        <x:v>1</x:v>
      </x:c>
      <x:c r="G368" t="str">
        <x:v>工作经历条数</x:v>
      </x:c>
      <x:c r="H368" t="str">
        <x:v>2</x:v>
      </x:c>
      <x:c r="I368" s="26" t="str">
        <x:v>(not exposed on candidate page)</x:v>
      </x:c>
      <x:c r="J368" s="26" t="str">
        <x:v>NA</x:v>
      </x:c>
      <x:c r="K368" s="26" t="str">
        <x:v>2026-07-20_Greenhouse_Splitero_V01_R1_提交后页面.png</x:v>
      </x:c>
      <x:c r="L368" s="26" t="str">
        <x:v>Greenhouse 候选人页未展示该结构化字段，后台解析结果不可观察；不得记为解析失败。截图仅含 Splitero Logo。</x:v>
      </x:c>
      <x:c r="M368" t="str">
        <x:f>C368&amp;"|"&amp;E368&amp;"|"&amp;F368&amp;"|"&amp;G368</x:f>
        <x:v>GH|V01|1|工作经历条数</x:v>
      </x:c>
    </x:row>
    <x:row r="369" ht="48" customHeight="1">
      <x:c r="A369" t="str">
        <x:f>C369&amp;"-"&amp;E369&amp;"-R"&amp;F369</x:f>
        <x:v>GH-V01-R1</x:v>
      </x:c>
      <x:c r="B369" s="25" t="n">
        <x:v>46223</x:v>
      </x:c>
      <x:c r="C369" t="str">
        <x:v>GH</x:v>
      </x:c>
      <x:c r="D369" t="str">
        <x:v>splitero</x:v>
      </x:c>
      <x:c r="E369" t="str">
        <x:v>V01</x:v>
      </x:c>
      <x:c r="F369" t="n">
        <x:v>1</x:v>
      </x:c>
      <x:c r="G369" t="str">
        <x:v>起止日期</x:v>
      </x:c>
      <x:c r="H369" t="str">
        <x:v>Mar 2022 - Present; Jun 2018 - Feb 2022</x:v>
      </x:c>
      <x:c r="I369" s="26" t="str">
        <x:v>(not exposed on candidate page)</x:v>
      </x:c>
      <x:c r="J369" s="26" t="str">
        <x:v>NA</x:v>
      </x:c>
      <x:c r="K369" s="26" t="str">
        <x:v>2026-07-20_Greenhouse_Splitero_V01_R1_提交后页面.png</x:v>
      </x:c>
      <x:c r="L369" s="26" t="str">
        <x:v>Greenhouse 候选人页未展示该结构化字段，后台解析结果不可观察；不得记为解析失败。截图仅含 Splitero Logo。</x:v>
      </x:c>
      <x:c r="M369" t="str">
        <x:f>C369&amp;"|"&amp;E369&amp;"|"&amp;F369&amp;"|"&amp;G369</x:f>
        <x:v>GH|V01|1|起止日期</x:v>
      </x:c>
    </x:row>
    <x:row r="370" ht="48" customHeight="1">
      <x:c r="A370" t="str">
        <x:f>C370&amp;"-"&amp;E370&amp;"-R"&amp;F370</x:f>
        <x:v>GH-V01-R1</x:v>
      </x:c>
      <x:c r="B370" s="25" t="n">
        <x:v>46223</x:v>
      </x:c>
      <x:c r="C370" t="str">
        <x:v>GH</x:v>
      </x:c>
      <x:c r="D370" t="str">
        <x:v>splitero</x:v>
      </x:c>
      <x:c r="E370" t="str">
        <x:v>V01</x:v>
      </x:c>
      <x:c r="F370" t="n">
        <x:v>1</x:v>
      </x:c>
      <x:c r="G370" t="str">
        <x:v>教育背景</x:v>
      </x:c>
      <x:c r="H370" t="str">
        <x:v>B.S. Computer Science, University of California, Davis</x:v>
      </x:c>
      <x:c r="I370" s="26" t="str">
        <x:v>(not exposed on candidate page)</x:v>
      </x:c>
      <x:c r="J370" s="26" t="str">
        <x:v>NA</x:v>
      </x:c>
      <x:c r="K370" s="26" t="str">
        <x:v>2026-07-20_Greenhouse_Splitero_V01_R1_提交后页面.png</x:v>
      </x:c>
      <x:c r="L370" s="26" t="str">
        <x:v>Greenhouse 候选人页未展示该结构化字段，后台解析结果不可观察；不得记为解析失败。截图仅含 Splitero Logo。</x:v>
      </x:c>
      <x:c r="M370" t="str">
        <x:f>C370&amp;"|"&amp;E370&amp;"|"&amp;F370&amp;"|"&amp;G370</x:f>
        <x:v>GH|V01|1|教育背景</x:v>
      </x:c>
    </x:row>
    <x:row r="371" ht="48" customHeight="1">
      <x:c r="A371" t="str">
        <x:f>C371&amp;"-"&amp;E371&amp;"-R"&amp;F371</x:f>
        <x:v>GH-V01-R1</x:v>
      </x:c>
      <x:c r="B371" s="25" t="n">
        <x:v>46223</x:v>
      </x:c>
      <x:c r="C371" t="str">
        <x:v>GH</x:v>
      </x:c>
      <x:c r="D371" t="str">
        <x:v>splitero</x:v>
      </x:c>
      <x:c r="E371" t="str">
        <x:v>V01</x:v>
      </x:c>
      <x:c r="F371" t="n">
        <x:v>1</x:v>
      </x:c>
      <x:c r="G371" t="str">
        <x:v>技能识别数量</x:v>
      </x:c>
      <x:c r="H371" t="str">
        <x:v>10</x:v>
      </x:c>
      <x:c r="I371" s="26" t="str">
        <x:v>(not exposed on candidate page)</x:v>
      </x:c>
      <x:c r="J371" s="26" t="str">
        <x:v>NA</x:v>
      </x:c>
      <x:c r="K371" s="26" t="str">
        <x:v>2026-07-20_Greenhouse_Splitero_V01_R1_提交后页面.png</x:v>
      </x:c>
      <x:c r="L371" s="26" t="str">
        <x:v>Greenhouse 候选人页未展示该结构化字段，后台解析结果不可观察；不得记为解析失败。截图仅含 Splitero Logo。</x:v>
      </x:c>
      <x:c r="M371" t="str">
        <x:f>C371&amp;"|"&amp;E371&amp;"|"&amp;F371&amp;"|"&amp;G371</x:f>
        <x:v>GH|V01|1|技能识别数量</x:v>
      </x:c>
    </x:row>
  </x:sheetData>
  <x:dataValidations count="2">
    <x:dataValidation type="list" errorStyle="stop" operator="between" allowBlank="1" showDropDown="0" showInputMessage="0" showErrorMessage="0" sqref="J2:J361">
      <x:formula1>"Y,N,partial"</x:formula1>
      <x:formula2>0</x:formula2>
    </x:dataValidation>
    <x:dataValidation type="list" sqref="J362:J371">
      <x:formula1>"Y,partial,N,NA"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3" t="s">
        <x:v>24</x:v>
      </x:c>
      <x:c r="B1" s="13" t="s">
        <x:v>55</x:v>
      </x:c>
      <x:c r="C1" s="13" t="s">
        <x:v>56</x:v>
      </x:c>
      <x:c r="D1" s="13" t="s">
        <x:v>57</x:v>
      </x:c>
      <x:c r="E1" s="13" t="s">
        <x:v>58</x:v>
      </x:c>
      <x:c r="F1" s="13" t="s">
        <x:v>59</x:v>
      </x:c>
      <x:c r="G1" s="13" t="s">
        <x:v>60</x:v>
      </x:c>
      <x:c r="H1" s="13" t="s">
        <x:v>61</x:v>
      </x:c>
    </x:row>
    <x:row r="2" ht="15" hidden="0" customHeight="1">
      <x:c r="A2" s="14" t="s">
        <x:v>62</x:v>
      </x:c>
      <x:c r="B2" s="14" t="s">
        <x:v>8</x:v>
      </x:c>
      <x:c r="C2" s="15" t="s">
        <x:v>35</x:v>
      </x:c>
      <x:c r="D2" s="14" t="str">
        <x:f aca="0">IFERROR(INDEX(Log!$J:$J,MATCH($A2&amp;"|"&amp;$B2&amp;"|1|"&amp;$C2,Log!$M:$M,0)),"")</x:f>
      </x:c>
      <x:c r="E2" s="14" t="str">
        <x:f aca="0">IFERROR(INDEX(Log!$J:$J,MATCH($A2&amp;"|"&amp;$B2&amp;"|2|"&amp;$C2,Log!$M:$M,0)),"")</x:f>
      </x:c>
      <x:c r="F2" s="14" t="str">
        <x:f aca="0">IFERROR(INDEX(Log!$J:$J,MATCH($A2&amp;"|"&amp;$B2&amp;"|3|"&amp;$C2,Log!$M:$M,0)),"")</x:f>
      </x:c>
      <x:c r="G2" s="14" t="n">
        <x:f aca="0">IF(COUNTIF(D2:F2,"Y")+COUNTIF(D2:F2,"partial")+COUNTIF(D2:F2,"N")=3,1,0)</x:f>
        <x:v>0</x:v>
      </x:c>
      <x:c r="H2" s="14" t="n">
        <x:f aca="0">IF(G2=1,IF(AND(D2=E2,E2=F2),1,0),0)</x:f>
        <x:v>0</x:v>
      </x:c>
    </x:row>
    <x:row r="3" ht="15" hidden="0" customHeight="1">
      <x:c r="A3" s="14" t="s">
        <x:v>62</x:v>
      </x:c>
      <x:c r="B3" s="14" t="s">
        <x:v>8</x:v>
      </x:c>
      <x:c r="C3" s="15" t="s">
        <x:v>37</x:v>
      </x:c>
      <x:c r="D3" s="14" t="str">
        <x:f aca="0">IFERROR(INDEX(Log!$J:$J,MATCH($A3&amp;"|"&amp;$B3&amp;"|1|"&amp;$C3,Log!$M:$M,0)),"")</x:f>
      </x:c>
      <x:c r="E3" s="14" t="str">
        <x:f aca="0">IFERROR(INDEX(Log!$J:$J,MATCH($A3&amp;"|"&amp;$B3&amp;"|2|"&amp;$C3,Log!$M:$M,0)),"")</x:f>
      </x:c>
      <x:c r="F3" s="14" t="str">
        <x:f aca="0">IFERROR(INDEX(Log!$J:$J,MATCH($A3&amp;"|"&amp;$B3&amp;"|3|"&amp;$C3,Log!$M:$M,0)),"")</x:f>
      </x:c>
      <x:c r="G3" s="14" t="n">
        <x:f aca="0">IF(COUNTIF(D3:F3,"Y")+COUNTIF(D3:F3,"partial")+COUNTIF(D3:F3,"N")=3,1,0)</x:f>
        <x:v>0</x:v>
      </x:c>
      <x:c r="H3" s="14" t="n">
        <x:f aca="0">IF(G3=1,IF(AND(D3=E3,E3=F3),1,0),0)</x:f>
        <x:v>0</x:v>
      </x:c>
    </x:row>
    <x:row r="4" ht="15" hidden="0" customHeight="1">
      <x:c r="A4" s="14" t="s">
        <x:v>62</x:v>
      </x:c>
      <x:c r="B4" s="14" t="s">
        <x:v>8</x:v>
      </x:c>
      <x:c r="C4" s="15" t="s">
        <x:v>39</x:v>
      </x:c>
      <x:c r="D4" s="14" t="str">
        <x:f aca="0">IFERROR(INDEX(Log!$J:$J,MATCH($A4&amp;"|"&amp;$B4&amp;"|1|"&amp;$C4,Log!$M:$M,0)),"")</x:f>
      </x:c>
      <x:c r="E4" s="14" t="str">
        <x:f aca="0">IFERROR(INDEX(Log!$J:$J,MATCH($A4&amp;"|"&amp;$B4&amp;"|2|"&amp;$C4,Log!$M:$M,0)),"")</x:f>
      </x:c>
      <x:c r="F4" s="14" t="str">
        <x:f aca="0">IFERROR(INDEX(Log!$J:$J,MATCH($A4&amp;"|"&amp;$B4&amp;"|3|"&amp;$C4,Log!$M:$M,0)),"")</x:f>
      </x:c>
      <x:c r="G4" s="14" t="n">
        <x:f aca="0">IF(COUNTIF(D4:F4,"Y")+COUNTIF(D4:F4,"partial")+COUNTIF(D4:F4,"N")=3,1,0)</x:f>
        <x:v>0</x:v>
      </x:c>
      <x:c r="H4" s="14" t="n">
        <x:f aca="0">IF(G4=1,IF(AND(D4=E4,E4=F4),1,0),0)</x:f>
        <x:v>0</x:v>
      </x:c>
    </x:row>
    <x:row r="5" ht="15" hidden="0" customHeight="1">
      <x:c r="A5" s="14" t="s">
        <x:v>62</x:v>
      </x:c>
      <x:c r="B5" s="14" t="s">
        <x:v>8</x:v>
      </x:c>
      <x:c r="C5" s="15" t="s">
        <x:v>41</x:v>
      </x:c>
      <x:c r="D5" s="14" t="str">
        <x:f aca="0">IFERROR(INDEX(Log!$J:$J,MATCH($A5&amp;"|"&amp;$B5&amp;"|1|"&amp;$C5,Log!$M:$M,0)),"")</x:f>
      </x:c>
      <x:c r="E5" s="14" t="str">
        <x:f aca="0">IFERROR(INDEX(Log!$J:$J,MATCH($A5&amp;"|"&amp;$B5&amp;"|2|"&amp;$C5,Log!$M:$M,0)),"")</x:f>
      </x:c>
      <x:c r="F5" s="14" t="str">
        <x:f aca="0">IFERROR(INDEX(Log!$J:$J,MATCH($A5&amp;"|"&amp;$B5&amp;"|3|"&amp;$C5,Log!$M:$M,0)),"")</x:f>
      </x:c>
      <x:c r="G5" s="14" t="n">
        <x:f aca="0">IF(COUNTIF(D5:F5,"Y")+COUNTIF(D5:F5,"partial")+COUNTIF(D5:F5,"N")=3,1,0)</x:f>
        <x:v>0</x:v>
      </x:c>
      <x:c r="H5" s="14" t="n">
        <x:f aca="0">IF(G5=1,IF(AND(D5=E5,E5=F5),1,0),0)</x:f>
        <x:v>0</x:v>
      </x:c>
    </x:row>
    <x:row r="6" ht="15" hidden="0" customHeight="1">
      <x:c r="A6" s="14" t="s">
        <x:v>62</x:v>
      </x:c>
      <x:c r="B6" s="14" t="s">
        <x:v>8</x:v>
      </x:c>
      <x:c r="C6" s="15" t="s">
        <x:v>43</x:v>
      </x:c>
      <x:c r="D6" s="14" t="str">
        <x:f aca="0">IFERROR(INDEX(Log!$J:$J,MATCH($A6&amp;"|"&amp;$B6&amp;"|1|"&amp;$C6,Log!$M:$M,0)),"")</x:f>
      </x:c>
      <x:c r="E6" s="14" t="str">
        <x:f aca="0">IFERROR(INDEX(Log!$J:$J,MATCH($A6&amp;"|"&amp;$B6&amp;"|2|"&amp;$C6,Log!$M:$M,0)),"")</x:f>
      </x:c>
      <x:c r="F6" s="14" t="str">
        <x:f aca="0">IFERROR(INDEX(Log!$J:$J,MATCH($A6&amp;"|"&amp;$B6&amp;"|3|"&amp;$C6,Log!$M:$M,0)),"")</x:f>
      </x:c>
      <x:c r="G6" s="14" t="n">
        <x:f aca="0">IF(COUNTIF(D6:F6,"Y")+COUNTIF(D6:F6,"partial")+COUNTIF(D6:F6,"N")=3,1,0)</x:f>
        <x:v>0</x:v>
      </x:c>
      <x:c r="H6" s="14" t="n">
        <x:f aca="0">IF(G6=1,IF(AND(D6=E6,E6=F6),1,0),0)</x:f>
        <x:v>0</x:v>
      </x:c>
    </x:row>
    <x:row r="7" ht="15" hidden="0" customHeight="1">
      <x:c r="A7" s="14" t="s">
        <x:v>62</x:v>
      </x:c>
      <x:c r="B7" s="14" t="s">
        <x:v>8</x:v>
      </x:c>
      <x:c r="C7" s="15" t="s">
        <x:v>45</x:v>
      </x:c>
      <x:c r="D7" s="14" t="str">
        <x:f aca="0">IFERROR(INDEX(Log!$J:$J,MATCH($A7&amp;"|"&amp;$B7&amp;"|1|"&amp;$C7,Log!$M:$M,0)),"")</x:f>
      </x:c>
      <x:c r="E7" s="14" t="str">
        <x:f aca="0">IFERROR(INDEX(Log!$J:$J,MATCH($A7&amp;"|"&amp;$B7&amp;"|2|"&amp;$C7,Log!$M:$M,0)),"")</x:f>
      </x:c>
      <x:c r="F7" s="14" t="str">
        <x:f aca="0">IFERROR(INDEX(Log!$J:$J,MATCH($A7&amp;"|"&amp;$B7&amp;"|3|"&amp;$C7,Log!$M:$M,0)),"")</x:f>
      </x:c>
      <x:c r="G7" s="14" t="n">
        <x:f aca="0">IF(COUNTIF(D7:F7,"Y")+COUNTIF(D7:F7,"partial")+COUNTIF(D7:F7,"N")=3,1,0)</x:f>
        <x:v>0</x:v>
      </x:c>
      <x:c r="H7" s="14" t="n">
        <x:f aca="0">IF(G7=1,IF(AND(D7=E7,E7=F7),1,0),0)</x:f>
        <x:v>0</x:v>
      </x:c>
    </x:row>
    <x:row r="8" ht="15" hidden="0" customHeight="1">
      <x:c r="A8" s="14" t="s">
        <x:v>62</x:v>
      </x:c>
      <x:c r="B8" s="14" t="s">
        <x:v>8</x:v>
      </x:c>
      <x:c r="C8" s="15" t="s">
        <x:v>47</x:v>
      </x:c>
      <x:c r="D8" s="14" t="str">
        <x:f aca="0">IFERROR(INDEX(Log!$J:$J,MATCH($A8&amp;"|"&amp;$B8&amp;"|1|"&amp;$C8,Log!$M:$M,0)),"")</x:f>
      </x:c>
      <x:c r="E8" s="14" t="str">
        <x:f aca="0">IFERROR(INDEX(Log!$J:$J,MATCH($A8&amp;"|"&amp;$B8&amp;"|2|"&amp;$C8,Log!$M:$M,0)),"")</x:f>
      </x:c>
      <x:c r="F8" s="14" t="str">
        <x:f aca="0">IFERROR(INDEX(Log!$J:$J,MATCH($A8&amp;"|"&amp;$B8&amp;"|3|"&amp;$C8,Log!$M:$M,0)),"")</x:f>
      </x:c>
      <x:c r="G8" s="14" t="n">
        <x:f aca="0">IF(COUNTIF(D8:F8,"Y")+COUNTIF(D8:F8,"partial")+COUNTIF(D8:F8,"N")=3,1,0)</x:f>
        <x:v>0</x:v>
      </x:c>
      <x:c r="H8" s="14" t="n">
        <x:f aca="0">IF(G8=1,IF(AND(D8=E8,E8=F8),1,0),0)</x:f>
        <x:v>0</x:v>
      </x:c>
    </x:row>
    <x:row r="9" ht="15" hidden="0" customHeight="1">
      <x:c r="A9" s="14" t="s">
        <x:v>62</x:v>
      </x:c>
      <x:c r="B9" s="14" t="s">
        <x:v>8</x:v>
      </x:c>
      <x:c r="C9" s="15" t="s">
        <x:v>49</x:v>
      </x:c>
      <x:c r="D9" s="14" t="str">
        <x:f aca="0">IFERROR(INDEX(Log!$J:$J,MATCH($A9&amp;"|"&amp;$B9&amp;"|1|"&amp;$C9,Log!$M:$M,0)),"")</x:f>
      </x:c>
      <x:c r="E9" s="14" t="str">
        <x:f aca="0">IFERROR(INDEX(Log!$J:$J,MATCH($A9&amp;"|"&amp;$B9&amp;"|2|"&amp;$C9,Log!$M:$M,0)),"")</x:f>
      </x:c>
      <x:c r="F9" s="14" t="str">
        <x:f aca="0">IFERROR(INDEX(Log!$J:$J,MATCH($A9&amp;"|"&amp;$B9&amp;"|3|"&amp;$C9,Log!$M:$M,0)),"")</x:f>
      </x:c>
      <x:c r="G9" s="14" t="n">
        <x:f aca="0">IF(COUNTIF(D9:F9,"Y")+COUNTIF(D9:F9,"partial")+COUNTIF(D9:F9,"N")=3,1,0)</x:f>
        <x:v>0</x:v>
      </x:c>
      <x:c r="H9" s="14" t="n">
        <x:f aca="0">IF(G9=1,IF(AND(D9=E9,E9=F9),1,0),0)</x:f>
        <x:v>0</x:v>
      </x:c>
    </x:row>
    <x:row r="10" ht="15" hidden="0" customHeight="1">
      <x:c r="A10" s="14" t="s">
        <x:v>62</x:v>
      </x:c>
      <x:c r="B10" s="14" t="s">
        <x:v>8</x:v>
      </x:c>
      <x:c r="C10" s="15" t="s">
        <x:v>51</x:v>
      </x:c>
      <x:c r="D10" s="14" t="str">
        <x:f aca="0">IFERROR(INDEX(Log!$J:$J,MATCH($A10&amp;"|"&amp;$B10&amp;"|1|"&amp;$C10,Log!$M:$M,0)),"")</x:f>
      </x:c>
      <x:c r="E10" s="14" t="str">
        <x:f aca="0">IFERROR(INDEX(Log!$J:$J,MATCH($A10&amp;"|"&amp;$B10&amp;"|2|"&amp;$C10,Log!$M:$M,0)),"")</x:f>
      </x:c>
      <x:c r="F10" s="14" t="str">
        <x:f aca="0">IFERROR(INDEX(Log!$J:$J,MATCH($A10&amp;"|"&amp;$B10&amp;"|3|"&amp;$C10,Log!$M:$M,0)),"")</x:f>
      </x:c>
      <x:c r="G10" s="14" t="n">
        <x:f aca="0">IF(COUNTIF(D10:F10,"Y")+COUNTIF(D10:F10,"partial")+COUNTIF(D10:F10,"N")=3,1,0)</x:f>
        <x:v>0</x:v>
      </x:c>
      <x:c r="H10" s="14" t="n">
        <x:f aca="0">IF(G10=1,IF(AND(D10=E10,E10=F10),1,0),0)</x:f>
        <x:v>0</x:v>
      </x:c>
    </x:row>
    <x:row r="11" ht="15" hidden="0" customHeight="1">
      <x:c r="A11" s="14" t="s">
        <x:v>62</x:v>
      </x:c>
      <x:c r="B11" s="14" t="s">
        <x:v>8</x:v>
      </x:c>
      <x:c r="C11" s="15" t="s">
        <x:v>53</x:v>
      </x:c>
      <x:c r="D11" s="14" t="str">
        <x:f aca="0">IFERROR(INDEX(Log!$J:$J,MATCH($A11&amp;"|"&amp;$B11&amp;"|1|"&amp;$C11,Log!$M:$M,0)),"")</x:f>
      </x:c>
      <x:c r="E11" s="14" t="str">
        <x:f aca="0">IFERROR(INDEX(Log!$J:$J,MATCH($A11&amp;"|"&amp;$B11&amp;"|2|"&amp;$C11,Log!$M:$M,0)),"")</x:f>
      </x:c>
      <x:c r="F11" s="14" t="str">
        <x:f aca="0">IFERROR(INDEX(Log!$J:$J,MATCH($A11&amp;"|"&amp;$B11&amp;"|3|"&amp;$C11,Log!$M:$M,0)),"")</x:f>
      </x:c>
      <x:c r="G11" s="14" t="n">
        <x:f aca="0">IF(COUNTIF(D11:F11,"Y")+COUNTIF(D11:F11,"partial")+COUNTIF(D11:F11,"N")=3,1,0)</x:f>
        <x:v>0</x:v>
      </x:c>
      <x:c r="H11" s="14" t="n">
        <x:f aca="0">IF(G11=1,IF(AND(D11=E11,E11=F11),1,0),0)</x:f>
        <x:v>0</x:v>
      </x:c>
    </x:row>
    <x:row r="12" ht="15" hidden="0" customHeight="1">
      <x:c r="A12" s="14" t="s">
        <x:v>62</x:v>
      </x:c>
      <x:c r="B12" s="14" t="s">
        <x:v>10</x:v>
      </x:c>
      <x:c r="C12" s="15" t="s">
        <x:v>35</x:v>
      </x:c>
      <x:c r="D12" s="14" t="str">
        <x:f aca="0">IFERROR(INDEX(Log!$J:$J,MATCH($A12&amp;"|"&amp;$B12&amp;"|1|"&amp;$C12,Log!$M:$M,0)),"")</x:f>
      </x:c>
      <x:c r="E12" s="14" t="str">
        <x:f aca="0">IFERROR(INDEX(Log!$J:$J,MATCH($A12&amp;"|"&amp;$B12&amp;"|2|"&amp;$C12,Log!$M:$M,0)),"")</x:f>
      </x:c>
      <x:c r="F12" s="14" t="str">
        <x:f aca="0">IFERROR(INDEX(Log!$J:$J,MATCH($A12&amp;"|"&amp;$B12&amp;"|3|"&amp;$C12,Log!$M:$M,0)),"")</x:f>
      </x:c>
      <x:c r="G12" s="14" t="n">
        <x:f aca="0">IF(COUNTIF(D12:F12,"Y")+COUNTIF(D12:F12,"partial")+COUNTIF(D12:F12,"N")=3,1,0)</x:f>
        <x:v>0</x:v>
      </x:c>
      <x:c r="H12" s="14" t="n">
        <x:f aca="0">IF(G12=1,IF(AND(D12=E12,E12=F12),1,0),0)</x:f>
        <x:v>0</x:v>
      </x:c>
    </x:row>
    <x:row r="13" ht="15" hidden="0" customHeight="1">
      <x:c r="A13" s="14" t="s">
        <x:v>62</x:v>
      </x:c>
      <x:c r="B13" s="14" t="s">
        <x:v>10</x:v>
      </x:c>
      <x:c r="C13" s="15" t="s">
        <x:v>37</x:v>
      </x:c>
      <x:c r="D13" s="14" t="str">
        <x:f aca="0">IFERROR(INDEX(Log!$J:$J,MATCH($A13&amp;"|"&amp;$B13&amp;"|1|"&amp;$C13,Log!$M:$M,0)),"")</x:f>
      </x:c>
      <x:c r="E13" s="14" t="str">
        <x:f aca="0">IFERROR(INDEX(Log!$J:$J,MATCH($A13&amp;"|"&amp;$B13&amp;"|2|"&amp;$C13,Log!$M:$M,0)),"")</x:f>
      </x:c>
      <x:c r="F13" s="14" t="str">
        <x:f aca="0">IFERROR(INDEX(Log!$J:$J,MATCH($A13&amp;"|"&amp;$B13&amp;"|3|"&amp;$C13,Log!$M:$M,0)),"")</x:f>
      </x:c>
      <x:c r="G13" s="14" t="n">
        <x:f aca="0">IF(COUNTIF(D13:F13,"Y")+COUNTIF(D13:F13,"partial")+COUNTIF(D13:F13,"N")=3,1,0)</x:f>
        <x:v>0</x:v>
      </x:c>
      <x:c r="H13" s="14" t="n">
        <x:f aca="0">IF(G13=1,IF(AND(D13=E13,E13=F13),1,0),0)</x:f>
        <x:v>0</x:v>
      </x:c>
    </x:row>
    <x:row r="14" ht="15" hidden="0" customHeight="1">
      <x:c r="A14" s="14" t="s">
        <x:v>62</x:v>
      </x:c>
      <x:c r="B14" s="14" t="s">
        <x:v>10</x:v>
      </x:c>
      <x:c r="C14" s="15" t="s">
        <x:v>39</x:v>
      </x:c>
      <x:c r="D14" s="14" t="str">
        <x:f aca="0">IFERROR(INDEX(Log!$J:$J,MATCH($A14&amp;"|"&amp;$B14&amp;"|1|"&amp;$C14,Log!$M:$M,0)),"")</x:f>
      </x:c>
      <x:c r="E14" s="14" t="str">
        <x:f aca="0">IFERROR(INDEX(Log!$J:$J,MATCH($A14&amp;"|"&amp;$B14&amp;"|2|"&amp;$C14,Log!$M:$M,0)),"")</x:f>
      </x:c>
      <x:c r="F14" s="14" t="str">
        <x:f aca="0">IFERROR(INDEX(Log!$J:$J,MATCH($A14&amp;"|"&amp;$B14&amp;"|3|"&amp;$C14,Log!$M:$M,0)),"")</x:f>
      </x:c>
      <x:c r="G14" s="14" t="n">
        <x:f aca="0">IF(COUNTIF(D14:F14,"Y")+COUNTIF(D14:F14,"partial")+COUNTIF(D14:F14,"N")=3,1,0)</x:f>
        <x:v>0</x:v>
      </x:c>
      <x:c r="H14" s="14" t="n">
        <x:f aca="0">IF(G14=1,IF(AND(D14=E14,E14=F14),1,0),0)</x:f>
        <x:v>0</x:v>
      </x:c>
    </x:row>
    <x:row r="15" ht="15" hidden="0" customHeight="1">
      <x:c r="A15" s="14" t="s">
        <x:v>62</x:v>
      </x:c>
      <x:c r="B15" s="14" t="s">
        <x:v>10</x:v>
      </x:c>
      <x:c r="C15" s="15" t="s">
        <x:v>41</x:v>
      </x:c>
      <x:c r="D15" s="14" t="str">
        <x:f aca="0">IFERROR(INDEX(Log!$J:$J,MATCH($A15&amp;"|"&amp;$B15&amp;"|1|"&amp;$C15,Log!$M:$M,0)),"")</x:f>
      </x:c>
      <x:c r="E15" s="14" t="str">
        <x:f aca="0">IFERROR(INDEX(Log!$J:$J,MATCH($A15&amp;"|"&amp;$B15&amp;"|2|"&amp;$C15,Log!$M:$M,0)),"")</x:f>
      </x:c>
      <x:c r="F15" s="14" t="str">
        <x:f aca="0">IFERROR(INDEX(Log!$J:$J,MATCH($A15&amp;"|"&amp;$B15&amp;"|3|"&amp;$C15,Log!$M:$M,0)),"")</x:f>
      </x:c>
      <x:c r="G15" s="14" t="n">
        <x:f aca="0">IF(COUNTIF(D15:F15,"Y")+COUNTIF(D15:F15,"partial")+COUNTIF(D15:F15,"N")=3,1,0)</x:f>
        <x:v>0</x:v>
      </x:c>
      <x:c r="H15" s="14" t="n">
        <x:f aca="0">IF(G15=1,IF(AND(D15=E15,E15=F15),1,0),0)</x:f>
        <x:v>0</x:v>
      </x:c>
    </x:row>
    <x:row r="16" ht="15" hidden="0" customHeight="1">
      <x:c r="A16" s="14" t="s">
        <x:v>62</x:v>
      </x:c>
      <x:c r="B16" s="14" t="s">
        <x:v>10</x:v>
      </x:c>
      <x:c r="C16" s="15" t="s">
        <x:v>43</x:v>
      </x:c>
      <x:c r="D16" s="14" t="str">
        <x:f aca="0">IFERROR(INDEX(Log!$J:$J,MATCH($A16&amp;"|"&amp;$B16&amp;"|1|"&amp;$C16,Log!$M:$M,0)),"")</x:f>
      </x:c>
      <x:c r="E16" s="14" t="str">
        <x:f aca="0">IFERROR(INDEX(Log!$J:$J,MATCH($A16&amp;"|"&amp;$B16&amp;"|2|"&amp;$C16,Log!$M:$M,0)),"")</x:f>
      </x:c>
      <x:c r="F16" s="14" t="str">
        <x:f aca="0">IFERROR(INDEX(Log!$J:$J,MATCH($A16&amp;"|"&amp;$B16&amp;"|3|"&amp;$C16,Log!$M:$M,0)),"")</x:f>
      </x:c>
      <x:c r="G16" s="14" t="n">
        <x:f aca="0">IF(COUNTIF(D16:F16,"Y")+COUNTIF(D16:F16,"partial")+COUNTIF(D16:F16,"N")=3,1,0)</x:f>
        <x:v>0</x:v>
      </x:c>
      <x:c r="H16" s="14" t="n">
        <x:f aca="0">IF(G16=1,IF(AND(D16=E16,E16=F16),1,0),0)</x:f>
        <x:v>0</x:v>
      </x:c>
    </x:row>
    <x:row r="17" ht="15" hidden="0" customHeight="1">
      <x:c r="A17" s="14" t="s">
        <x:v>62</x:v>
      </x:c>
      <x:c r="B17" s="14" t="s">
        <x:v>10</x:v>
      </x:c>
      <x:c r="C17" s="15" t="s">
        <x:v>45</x:v>
      </x:c>
      <x:c r="D17" s="14" t="str">
        <x:f aca="0">IFERROR(INDEX(Log!$J:$J,MATCH($A17&amp;"|"&amp;$B17&amp;"|1|"&amp;$C17,Log!$M:$M,0)),"")</x:f>
      </x:c>
      <x:c r="E17" s="14" t="str">
        <x:f aca="0">IFERROR(INDEX(Log!$J:$J,MATCH($A17&amp;"|"&amp;$B17&amp;"|2|"&amp;$C17,Log!$M:$M,0)),"")</x:f>
      </x:c>
      <x:c r="F17" s="14" t="str">
        <x:f aca="0">IFERROR(INDEX(Log!$J:$J,MATCH($A17&amp;"|"&amp;$B17&amp;"|3|"&amp;$C17,Log!$M:$M,0)),"")</x:f>
      </x:c>
      <x:c r="G17" s="14" t="n">
        <x:f aca="0">IF(COUNTIF(D17:F17,"Y")+COUNTIF(D17:F17,"partial")+COUNTIF(D17:F17,"N")=3,1,0)</x:f>
        <x:v>0</x:v>
      </x:c>
      <x:c r="H17" s="14" t="n">
        <x:f aca="0">IF(G17=1,IF(AND(D17=E17,E17=F17),1,0),0)</x:f>
        <x:v>0</x:v>
      </x:c>
    </x:row>
    <x:row r="18" ht="15" hidden="0" customHeight="1">
      <x:c r="A18" s="14" t="s">
        <x:v>62</x:v>
      </x:c>
      <x:c r="B18" s="14" t="s">
        <x:v>10</x:v>
      </x:c>
      <x:c r="C18" s="15" t="s">
        <x:v>47</x:v>
      </x:c>
      <x:c r="D18" s="14" t="str">
        <x:f aca="0">IFERROR(INDEX(Log!$J:$J,MATCH($A18&amp;"|"&amp;$B18&amp;"|1|"&amp;$C18,Log!$M:$M,0)),"")</x:f>
      </x:c>
      <x:c r="E18" s="14" t="str">
        <x:f aca="0">IFERROR(INDEX(Log!$J:$J,MATCH($A18&amp;"|"&amp;$B18&amp;"|2|"&amp;$C18,Log!$M:$M,0)),"")</x:f>
      </x:c>
      <x:c r="F18" s="14" t="str">
        <x:f aca="0">IFERROR(INDEX(Log!$J:$J,MATCH($A18&amp;"|"&amp;$B18&amp;"|3|"&amp;$C18,Log!$M:$M,0)),"")</x:f>
      </x:c>
      <x:c r="G18" s="14" t="n">
        <x:f aca="0">IF(COUNTIF(D18:F18,"Y")+COUNTIF(D18:F18,"partial")+COUNTIF(D18:F18,"N")=3,1,0)</x:f>
        <x:v>0</x:v>
      </x:c>
      <x:c r="H18" s="14" t="n">
        <x:f aca="0">IF(G18=1,IF(AND(D18=E18,E18=F18),1,0),0)</x:f>
        <x:v>0</x:v>
      </x:c>
    </x:row>
    <x:row r="19" ht="15" hidden="0" customHeight="1">
      <x:c r="A19" s="14" t="s">
        <x:v>62</x:v>
      </x:c>
      <x:c r="B19" s="14" t="s">
        <x:v>10</x:v>
      </x:c>
      <x:c r="C19" s="15" t="s">
        <x:v>49</x:v>
      </x:c>
      <x:c r="D19" s="14" t="str">
        <x:f aca="0">IFERROR(INDEX(Log!$J:$J,MATCH($A19&amp;"|"&amp;$B19&amp;"|1|"&amp;$C19,Log!$M:$M,0)),"")</x:f>
      </x:c>
      <x:c r="E19" s="14" t="str">
        <x:f aca="0">IFERROR(INDEX(Log!$J:$J,MATCH($A19&amp;"|"&amp;$B19&amp;"|2|"&amp;$C19,Log!$M:$M,0)),"")</x:f>
      </x:c>
      <x:c r="F19" s="14" t="str">
        <x:f aca="0">IFERROR(INDEX(Log!$J:$J,MATCH($A19&amp;"|"&amp;$B19&amp;"|3|"&amp;$C19,Log!$M:$M,0)),"")</x:f>
      </x:c>
      <x:c r="G19" s="14" t="n">
        <x:f aca="0">IF(COUNTIF(D19:F19,"Y")+COUNTIF(D19:F19,"partial")+COUNTIF(D19:F19,"N")=3,1,0)</x:f>
        <x:v>0</x:v>
      </x:c>
      <x:c r="H19" s="14" t="n">
        <x:f aca="0">IF(G19=1,IF(AND(D19=E19,E19=F19),1,0),0)</x:f>
        <x:v>0</x:v>
      </x:c>
    </x:row>
    <x:row r="20" ht="15" hidden="0" customHeight="1">
      <x:c r="A20" s="14" t="s">
        <x:v>62</x:v>
      </x:c>
      <x:c r="B20" s="14" t="s">
        <x:v>10</x:v>
      </x:c>
      <x:c r="C20" s="15" t="s">
        <x:v>51</x:v>
      </x:c>
      <x:c r="D20" s="14" t="str">
        <x:f aca="0">IFERROR(INDEX(Log!$J:$J,MATCH($A20&amp;"|"&amp;$B20&amp;"|1|"&amp;$C20,Log!$M:$M,0)),"")</x:f>
      </x:c>
      <x:c r="E20" s="14" t="str">
        <x:f aca="0">IFERROR(INDEX(Log!$J:$J,MATCH($A20&amp;"|"&amp;$B20&amp;"|2|"&amp;$C20,Log!$M:$M,0)),"")</x:f>
      </x:c>
      <x:c r="F20" s="14" t="str">
        <x:f aca="0">IFERROR(INDEX(Log!$J:$J,MATCH($A20&amp;"|"&amp;$B20&amp;"|3|"&amp;$C20,Log!$M:$M,0)),"")</x:f>
      </x:c>
      <x:c r="G20" s="14" t="n">
        <x:f aca="0">IF(COUNTIF(D20:F20,"Y")+COUNTIF(D20:F20,"partial")+COUNTIF(D20:F20,"N")=3,1,0)</x:f>
        <x:v>0</x:v>
      </x:c>
      <x:c r="H20" s="14" t="n">
        <x:f aca="0">IF(G20=1,IF(AND(D20=E20,E20=F20),1,0),0)</x:f>
        <x:v>0</x:v>
      </x:c>
    </x:row>
    <x:row r="21" ht="15" hidden="0" customHeight="1">
      <x:c r="A21" s="14" t="s">
        <x:v>62</x:v>
      </x:c>
      <x:c r="B21" s="14" t="s">
        <x:v>10</x:v>
      </x:c>
      <x:c r="C21" s="15" t="s">
        <x:v>53</x:v>
      </x:c>
      <x:c r="D21" s="14" t="str">
        <x:f aca="0">IFERROR(INDEX(Log!$J:$J,MATCH($A21&amp;"|"&amp;$B21&amp;"|1|"&amp;$C21,Log!$M:$M,0)),"")</x:f>
      </x:c>
      <x:c r="E21" s="14" t="str">
        <x:f aca="0">IFERROR(INDEX(Log!$J:$J,MATCH($A21&amp;"|"&amp;$B21&amp;"|2|"&amp;$C21,Log!$M:$M,0)),"")</x:f>
      </x:c>
      <x:c r="F21" s="14" t="str">
        <x:f aca="0">IFERROR(INDEX(Log!$J:$J,MATCH($A21&amp;"|"&amp;$B21&amp;"|3|"&amp;$C21,Log!$M:$M,0)),"")</x:f>
      </x:c>
      <x:c r="G21" s="14" t="n">
        <x:f aca="0">IF(COUNTIF(D21:F21,"Y")+COUNTIF(D21:F21,"partial")+COUNTIF(D21:F21,"N")=3,1,0)</x:f>
        <x:v>0</x:v>
      </x:c>
      <x:c r="H21" s="14" t="n">
        <x:f aca="0">IF(G21=1,IF(AND(D21=E21,E21=F21),1,0),0)</x:f>
        <x:v>0</x:v>
      </x:c>
    </x:row>
    <x:row r="22" ht="15" hidden="0" customHeight="1">
      <x:c r="A22" s="14" t="s">
        <x:v>62</x:v>
      </x:c>
      <x:c r="B22" s="14" t="s">
        <x:v>12</x:v>
      </x:c>
      <x:c r="C22" s="15" t="s">
        <x:v>35</x:v>
      </x:c>
      <x:c r="D22" s="14" t="str">
        <x:f aca="0">IFERROR(INDEX(Log!$J:$J,MATCH($A22&amp;"|"&amp;$B22&amp;"|1|"&amp;$C22,Log!$M:$M,0)),"")</x:f>
      </x:c>
      <x:c r="E22" s="14" t="str">
        <x:f aca="0">IFERROR(INDEX(Log!$J:$J,MATCH($A22&amp;"|"&amp;$B22&amp;"|2|"&amp;$C22,Log!$M:$M,0)),"")</x:f>
      </x:c>
      <x:c r="F22" s="14" t="str">
        <x:f aca="0">IFERROR(INDEX(Log!$J:$J,MATCH($A22&amp;"|"&amp;$B22&amp;"|3|"&amp;$C22,Log!$M:$M,0)),"")</x:f>
      </x:c>
      <x:c r="G22" s="14" t="n">
        <x:f aca="0">IF(COUNTIF(D22:F22,"Y")+COUNTIF(D22:F22,"partial")+COUNTIF(D22:F22,"N")=3,1,0)</x:f>
        <x:v>0</x:v>
      </x:c>
      <x:c r="H22" s="14" t="n">
        <x:f aca="0">IF(G22=1,IF(AND(D22=E22,E22=F22),1,0),0)</x:f>
        <x:v>0</x:v>
      </x:c>
    </x:row>
    <x:row r="23" ht="15" hidden="0" customHeight="1">
      <x:c r="A23" s="14" t="s">
        <x:v>62</x:v>
      </x:c>
      <x:c r="B23" s="14" t="s">
        <x:v>12</x:v>
      </x:c>
      <x:c r="C23" s="15" t="s">
        <x:v>37</x:v>
      </x:c>
      <x:c r="D23" s="14" t="str">
        <x:f aca="0">IFERROR(INDEX(Log!$J:$J,MATCH($A23&amp;"|"&amp;$B23&amp;"|1|"&amp;$C23,Log!$M:$M,0)),"")</x:f>
      </x:c>
      <x:c r="E23" s="14" t="str">
        <x:f aca="0">IFERROR(INDEX(Log!$J:$J,MATCH($A23&amp;"|"&amp;$B23&amp;"|2|"&amp;$C23,Log!$M:$M,0)),"")</x:f>
      </x:c>
      <x:c r="F23" s="14" t="str">
        <x:f aca="0">IFERROR(INDEX(Log!$J:$J,MATCH($A23&amp;"|"&amp;$B23&amp;"|3|"&amp;$C23,Log!$M:$M,0)),"")</x:f>
      </x:c>
      <x:c r="G23" s="14" t="n">
        <x:f aca="0">IF(COUNTIF(D23:F23,"Y")+COUNTIF(D23:F23,"partial")+COUNTIF(D23:F23,"N")=3,1,0)</x:f>
        <x:v>0</x:v>
      </x:c>
      <x:c r="H23" s="14" t="n">
        <x:f aca="0">IF(G23=1,IF(AND(D23=E23,E23=F23),1,0),0)</x:f>
        <x:v>0</x:v>
      </x:c>
    </x:row>
    <x:row r="24" ht="15" hidden="0" customHeight="1">
      <x:c r="A24" s="14" t="s">
        <x:v>62</x:v>
      </x:c>
      <x:c r="B24" s="14" t="s">
        <x:v>12</x:v>
      </x:c>
      <x:c r="C24" s="15" t="s">
        <x:v>39</x:v>
      </x:c>
      <x:c r="D24" s="14" t="str">
        <x:f aca="0">IFERROR(INDEX(Log!$J:$J,MATCH($A24&amp;"|"&amp;$B24&amp;"|1|"&amp;$C24,Log!$M:$M,0)),"")</x:f>
      </x:c>
      <x:c r="E24" s="14" t="str">
        <x:f aca="0">IFERROR(INDEX(Log!$J:$J,MATCH($A24&amp;"|"&amp;$B24&amp;"|2|"&amp;$C24,Log!$M:$M,0)),"")</x:f>
      </x:c>
      <x:c r="F24" s="14" t="str">
        <x:f aca="0">IFERROR(INDEX(Log!$J:$J,MATCH($A24&amp;"|"&amp;$B24&amp;"|3|"&amp;$C24,Log!$M:$M,0)),"")</x:f>
      </x:c>
      <x:c r="G24" s="14" t="n">
        <x:f aca="0">IF(COUNTIF(D24:F24,"Y")+COUNTIF(D24:F24,"partial")+COUNTIF(D24:F24,"N")=3,1,0)</x:f>
        <x:v>0</x:v>
      </x:c>
      <x:c r="H24" s="14" t="n">
        <x:f aca="0">IF(G24=1,IF(AND(D24=E24,E24=F24),1,0),0)</x:f>
        <x:v>0</x:v>
      </x:c>
    </x:row>
    <x:row r="25" ht="15" hidden="0" customHeight="1">
      <x:c r="A25" s="14" t="s">
        <x:v>62</x:v>
      </x:c>
      <x:c r="B25" s="14" t="s">
        <x:v>12</x:v>
      </x:c>
      <x:c r="C25" s="15" t="s">
        <x:v>41</x:v>
      </x:c>
      <x:c r="D25" s="14" t="str">
        <x:f aca="0">IFERROR(INDEX(Log!$J:$J,MATCH($A25&amp;"|"&amp;$B25&amp;"|1|"&amp;$C25,Log!$M:$M,0)),"")</x:f>
      </x:c>
      <x:c r="E25" s="14" t="str">
        <x:f aca="0">IFERROR(INDEX(Log!$J:$J,MATCH($A25&amp;"|"&amp;$B25&amp;"|2|"&amp;$C25,Log!$M:$M,0)),"")</x:f>
      </x:c>
      <x:c r="F25" s="14" t="str">
        <x:f aca="0">IFERROR(INDEX(Log!$J:$J,MATCH($A25&amp;"|"&amp;$B25&amp;"|3|"&amp;$C25,Log!$M:$M,0)),"")</x:f>
      </x:c>
      <x:c r="G25" s="14" t="n">
        <x:f aca="0">IF(COUNTIF(D25:F25,"Y")+COUNTIF(D25:F25,"partial")+COUNTIF(D25:F25,"N")=3,1,0)</x:f>
        <x:v>0</x:v>
      </x:c>
      <x:c r="H25" s="14" t="n">
        <x:f aca="0">IF(G25=1,IF(AND(D25=E25,E25=F25),1,0),0)</x:f>
        <x:v>0</x:v>
      </x:c>
    </x:row>
    <x:row r="26" ht="15" hidden="0" customHeight="1">
      <x:c r="A26" s="14" t="s">
        <x:v>62</x:v>
      </x:c>
      <x:c r="B26" s="14" t="s">
        <x:v>12</x:v>
      </x:c>
      <x:c r="C26" s="15" t="s">
        <x:v>43</x:v>
      </x:c>
      <x:c r="D26" s="14" t="str">
        <x:f aca="0">IFERROR(INDEX(Log!$J:$J,MATCH($A26&amp;"|"&amp;$B26&amp;"|1|"&amp;$C26,Log!$M:$M,0)),"")</x:f>
      </x:c>
      <x:c r="E26" s="14" t="str">
        <x:f aca="0">IFERROR(INDEX(Log!$J:$J,MATCH($A26&amp;"|"&amp;$B26&amp;"|2|"&amp;$C26,Log!$M:$M,0)),"")</x:f>
      </x:c>
      <x:c r="F26" s="14" t="str">
        <x:f aca="0">IFERROR(INDEX(Log!$J:$J,MATCH($A26&amp;"|"&amp;$B26&amp;"|3|"&amp;$C26,Log!$M:$M,0)),"")</x:f>
      </x:c>
      <x:c r="G26" s="14" t="n">
        <x:f aca="0">IF(COUNTIF(D26:F26,"Y")+COUNTIF(D26:F26,"partial")+COUNTIF(D26:F26,"N")=3,1,0)</x:f>
        <x:v>0</x:v>
      </x:c>
      <x:c r="H26" s="14" t="n">
        <x:f aca="0">IF(G26=1,IF(AND(D26=E26,E26=F26),1,0),0)</x:f>
        <x:v>0</x:v>
      </x:c>
    </x:row>
    <x:row r="27" ht="15" hidden="0" customHeight="1">
      <x:c r="A27" s="14" t="s">
        <x:v>62</x:v>
      </x:c>
      <x:c r="B27" s="14" t="s">
        <x:v>12</x:v>
      </x:c>
      <x:c r="C27" s="15" t="s">
        <x:v>45</x:v>
      </x:c>
      <x:c r="D27" s="14" t="str">
        <x:f aca="0">IFERROR(INDEX(Log!$J:$J,MATCH($A27&amp;"|"&amp;$B27&amp;"|1|"&amp;$C27,Log!$M:$M,0)),"")</x:f>
      </x:c>
      <x:c r="E27" s="14" t="str">
        <x:f aca="0">IFERROR(INDEX(Log!$J:$J,MATCH($A27&amp;"|"&amp;$B27&amp;"|2|"&amp;$C27,Log!$M:$M,0)),"")</x:f>
      </x:c>
      <x:c r="F27" s="14" t="str">
        <x:f aca="0">IFERROR(INDEX(Log!$J:$J,MATCH($A27&amp;"|"&amp;$B27&amp;"|3|"&amp;$C27,Log!$M:$M,0)),"")</x:f>
      </x:c>
      <x:c r="G27" s="14" t="n">
        <x:f aca="0">IF(COUNTIF(D27:F27,"Y")+COUNTIF(D27:F27,"partial")+COUNTIF(D27:F27,"N")=3,1,0)</x:f>
        <x:v>0</x:v>
      </x:c>
      <x:c r="H27" s="14" t="n">
        <x:f aca="0">IF(G27=1,IF(AND(D27=E27,E27=F27),1,0),0)</x:f>
        <x:v>0</x:v>
      </x:c>
    </x:row>
    <x:row r="28" ht="15" hidden="0" customHeight="1">
      <x:c r="A28" s="14" t="s">
        <x:v>62</x:v>
      </x:c>
      <x:c r="B28" s="14" t="s">
        <x:v>12</x:v>
      </x:c>
      <x:c r="C28" s="15" t="s">
        <x:v>47</x:v>
      </x:c>
      <x:c r="D28" s="14" t="str">
        <x:f aca="0">IFERROR(INDEX(Log!$J:$J,MATCH($A28&amp;"|"&amp;$B28&amp;"|1|"&amp;$C28,Log!$M:$M,0)),"")</x:f>
      </x:c>
      <x:c r="E28" s="14" t="str">
        <x:f aca="0">IFERROR(INDEX(Log!$J:$J,MATCH($A28&amp;"|"&amp;$B28&amp;"|2|"&amp;$C28,Log!$M:$M,0)),"")</x:f>
      </x:c>
      <x:c r="F28" s="14" t="str">
        <x:f aca="0">IFERROR(INDEX(Log!$J:$J,MATCH($A28&amp;"|"&amp;$B28&amp;"|3|"&amp;$C28,Log!$M:$M,0)),"")</x:f>
      </x:c>
      <x:c r="G28" s="14" t="n">
        <x:f aca="0">IF(COUNTIF(D28:F28,"Y")+COUNTIF(D28:F28,"partial")+COUNTIF(D28:F28,"N")=3,1,0)</x:f>
        <x:v>0</x:v>
      </x:c>
      <x:c r="H28" s="14" t="n">
        <x:f aca="0">IF(G28=1,IF(AND(D28=E28,E28=F28),1,0),0)</x:f>
        <x:v>0</x:v>
      </x:c>
    </x:row>
    <x:row r="29" ht="15" hidden="0" customHeight="1">
      <x:c r="A29" s="14" t="s">
        <x:v>62</x:v>
      </x:c>
      <x:c r="B29" s="14" t="s">
        <x:v>12</x:v>
      </x:c>
      <x:c r="C29" s="15" t="s">
        <x:v>49</x:v>
      </x:c>
      <x:c r="D29" s="14" t="str">
        <x:f aca="0">IFERROR(INDEX(Log!$J:$J,MATCH($A29&amp;"|"&amp;$B29&amp;"|1|"&amp;$C29,Log!$M:$M,0)),"")</x:f>
      </x:c>
      <x:c r="E29" s="14" t="str">
        <x:f aca="0">IFERROR(INDEX(Log!$J:$J,MATCH($A29&amp;"|"&amp;$B29&amp;"|2|"&amp;$C29,Log!$M:$M,0)),"")</x:f>
      </x:c>
      <x:c r="F29" s="14" t="str">
        <x:f aca="0">IFERROR(INDEX(Log!$J:$J,MATCH($A29&amp;"|"&amp;$B29&amp;"|3|"&amp;$C29,Log!$M:$M,0)),"")</x:f>
      </x:c>
      <x:c r="G29" s="14" t="n">
        <x:f aca="0">IF(COUNTIF(D29:F29,"Y")+COUNTIF(D29:F29,"partial")+COUNTIF(D29:F29,"N")=3,1,0)</x:f>
        <x:v>0</x:v>
      </x:c>
      <x:c r="H29" s="14" t="n">
        <x:f aca="0">IF(G29=1,IF(AND(D29=E29,E29=F29),1,0),0)</x:f>
        <x:v>0</x:v>
      </x:c>
    </x:row>
    <x:row r="30" ht="15" hidden="0" customHeight="1">
      <x:c r="A30" s="14" t="s">
        <x:v>62</x:v>
      </x:c>
      <x:c r="B30" s="14" t="s">
        <x:v>12</x:v>
      </x:c>
      <x:c r="C30" s="15" t="s">
        <x:v>51</x:v>
      </x:c>
      <x:c r="D30" s="14" t="str">
        <x:f aca="0">IFERROR(INDEX(Log!$J:$J,MATCH($A30&amp;"|"&amp;$B30&amp;"|1|"&amp;$C30,Log!$M:$M,0)),"")</x:f>
      </x:c>
      <x:c r="E30" s="14" t="str">
        <x:f aca="0">IFERROR(INDEX(Log!$J:$J,MATCH($A30&amp;"|"&amp;$B30&amp;"|2|"&amp;$C30,Log!$M:$M,0)),"")</x:f>
      </x:c>
      <x:c r="F30" s="14" t="str">
        <x:f aca="0">IFERROR(INDEX(Log!$J:$J,MATCH($A30&amp;"|"&amp;$B30&amp;"|3|"&amp;$C30,Log!$M:$M,0)),"")</x:f>
      </x:c>
      <x:c r="G30" s="14" t="n">
        <x:f aca="0">IF(COUNTIF(D30:F30,"Y")+COUNTIF(D30:F30,"partial")+COUNTIF(D30:F30,"N")=3,1,0)</x:f>
        <x:v>0</x:v>
      </x:c>
      <x:c r="H30" s="14" t="n">
        <x:f aca="0">IF(G30=1,IF(AND(D30=E30,E30=F30),1,0),0)</x:f>
        <x:v>0</x:v>
      </x:c>
    </x:row>
    <x:row r="31" ht="15" hidden="0" customHeight="1">
      <x:c r="A31" s="14" t="s">
        <x:v>62</x:v>
      </x:c>
      <x:c r="B31" s="14" t="s">
        <x:v>12</x:v>
      </x:c>
      <x:c r="C31" s="15" t="s">
        <x:v>53</x:v>
      </x:c>
      <x:c r="D31" s="14" t="str">
        <x:f aca="0">IFERROR(INDEX(Log!$J:$J,MATCH($A31&amp;"|"&amp;$B31&amp;"|1|"&amp;$C31,Log!$M:$M,0)),"")</x:f>
      </x:c>
      <x:c r="E31" s="14" t="str">
        <x:f aca="0">IFERROR(INDEX(Log!$J:$J,MATCH($A31&amp;"|"&amp;$B31&amp;"|2|"&amp;$C31,Log!$M:$M,0)),"")</x:f>
      </x:c>
      <x:c r="F31" s="14" t="str">
        <x:f aca="0">IFERROR(INDEX(Log!$J:$J,MATCH($A31&amp;"|"&amp;$B31&amp;"|3|"&amp;$C31,Log!$M:$M,0)),"")</x:f>
      </x:c>
      <x:c r="G31" s="14" t="n">
        <x:f aca="0">IF(COUNTIF(D31:F31,"Y")+COUNTIF(D31:F31,"partial")+COUNTIF(D31:F31,"N")=3,1,0)</x:f>
        <x:v>0</x:v>
      </x:c>
      <x:c r="H31" s="14" t="n">
        <x:f aca="0">IF(G31=1,IF(AND(D31=E31,E31=F31),1,0),0)</x:f>
        <x:v>0</x:v>
      </x:c>
    </x:row>
    <x:row r="32" ht="15" hidden="0" customHeight="1">
      <x:c r="A32" s="14" t="s">
        <x:v>62</x:v>
      </x:c>
      <x:c r="B32" s="14" t="s">
        <x:v>14</x:v>
      </x:c>
      <x:c r="C32" s="15" t="s">
        <x:v>35</x:v>
      </x:c>
      <x:c r="D32" s="14" t="str">
        <x:f aca="0">IFERROR(INDEX(Log!$J:$J,MATCH($A32&amp;"|"&amp;$B32&amp;"|1|"&amp;$C32,Log!$M:$M,0)),"")</x:f>
      </x:c>
      <x:c r="E32" s="14" t="str">
        <x:f aca="0">IFERROR(INDEX(Log!$J:$J,MATCH($A32&amp;"|"&amp;$B32&amp;"|2|"&amp;$C32,Log!$M:$M,0)),"")</x:f>
      </x:c>
      <x:c r="F32" s="14" t="str">
        <x:f aca="0">IFERROR(INDEX(Log!$J:$J,MATCH($A32&amp;"|"&amp;$B32&amp;"|3|"&amp;$C32,Log!$M:$M,0)),"")</x:f>
      </x:c>
      <x:c r="G32" s="14" t="n">
        <x:f aca="0">IF(COUNTIF(D32:F32,"Y")+COUNTIF(D32:F32,"partial")+COUNTIF(D32:F32,"N")=3,1,0)</x:f>
        <x:v>0</x:v>
      </x:c>
      <x:c r="H32" s="14" t="n">
        <x:f aca="0">IF(G32=1,IF(AND(D32=E32,E32=F32),1,0),0)</x:f>
        <x:v>0</x:v>
      </x:c>
    </x:row>
    <x:row r="33" ht="15" hidden="0" customHeight="1">
      <x:c r="A33" s="14" t="s">
        <x:v>62</x:v>
      </x:c>
      <x:c r="B33" s="14" t="s">
        <x:v>14</x:v>
      </x:c>
      <x:c r="C33" s="15" t="s">
        <x:v>37</x:v>
      </x:c>
      <x:c r="D33" s="14" t="str">
        <x:f aca="0">IFERROR(INDEX(Log!$J:$J,MATCH($A33&amp;"|"&amp;$B33&amp;"|1|"&amp;$C33,Log!$M:$M,0)),"")</x:f>
      </x:c>
      <x:c r="E33" s="14" t="str">
        <x:f aca="0">IFERROR(INDEX(Log!$J:$J,MATCH($A33&amp;"|"&amp;$B33&amp;"|2|"&amp;$C33,Log!$M:$M,0)),"")</x:f>
      </x:c>
      <x:c r="F33" s="14" t="str">
        <x:f aca="0">IFERROR(INDEX(Log!$J:$J,MATCH($A33&amp;"|"&amp;$B33&amp;"|3|"&amp;$C33,Log!$M:$M,0)),"")</x:f>
      </x:c>
      <x:c r="G33" s="14" t="n">
        <x:f aca="0">IF(COUNTIF(D33:F33,"Y")+COUNTIF(D33:F33,"partial")+COUNTIF(D33:F33,"N")=3,1,0)</x:f>
        <x:v>0</x:v>
      </x:c>
      <x:c r="H33" s="14" t="n">
        <x:f aca="0">IF(G33=1,IF(AND(D33=E33,E33=F33),1,0),0)</x:f>
        <x:v>0</x:v>
      </x:c>
    </x:row>
    <x:row r="34" ht="15" hidden="0" customHeight="1">
      <x:c r="A34" s="14" t="s">
        <x:v>62</x:v>
      </x:c>
      <x:c r="B34" s="14" t="s">
        <x:v>14</x:v>
      </x:c>
      <x:c r="C34" s="15" t="s">
        <x:v>39</x:v>
      </x:c>
      <x:c r="D34" s="14" t="str">
        <x:f aca="0">IFERROR(INDEX(Log!$J:$J,MATCH($A34&amp;"|"&amp;$B34&amp;"|1|"&amp;$C34,Log!$M:$M,0)),"")</x:f>
      </x:c>
      <x:c r="E34" s="14" t="str">
        <x:f aca="0">IFERROR(INDEX(Log!$J:$J,MATCH($A34&amp;"|"&amp;$B34&amp;"|2|"&amp;$C34,Log!$M:$M,0)),"")</x:f>
      </x:c>
      <x:c r="F34" s="14" t="str">
        <x:f aca="0">IFERROR(INDEX(Log!$J:$J,MATCH($A34&amp;"|"&amp;$B34&amp;"|3|"&amp;$C34,Log!$M:$M,0)),"")</x:f>
      </x:c>
      <x:c r="G34" s="14" t="n">
        <x:f aca="0">IF(COUNTIF(D34:F34,"Y")+COUNTIF(D34:F34,"partial")+COUNTIF(D34:F34,"N")=3,1,0)</x:f>
        <x:v>0</x:v>
      </x:c>
      <x:c r="H34" s="14" t="n">
        <x:f aca="0">IF(G34=1,IF(AND(D34=E34,E34=F34),1,0),0)</x:f>
        <x:v>0</x:v>
      </x:c>
    </x:row>
    <x:row r="35" ht="15" hidden="0" customHeight="1">
      <x:c r="A35" s="14" t="s">
        <x:v>62</x:v>
      </x:c>
      <x:c r="B35" s="14" t="s">
        <x:v>14</x:v>
      </x:c>
      <x:c r="C35" s="15" t="s">
        <x:v>41</x:v>
      </x:c>
      <x:c r="D35" s="14" t="str">
        <x:f aca="0">IFERROR(INDEX(Log!$J:$J,MATCH($A35&amp;"|"&amp;$B35&amp;"|1|"&amp;$C35,Log!$M:$M,0)),"")</x:f>
      </x:c>
      <x:c r="E35" s="14" t="str">
        <x:f aca="0">IFERROR(INDEX(Log!$J:$J,MATCH($A35&amp;"|"&amp;$B35&amp;"|2|"&amp;$C35,Log!$M:$M,0)),"")</x:f>
      </x:c>
      <x:c r="F35" s="14" t="str">
        <x:f aca="0">IFERROR(INDEX(Log!$J:$J,MATCH($A35&amp;"|"&amp;$B35&amp;"|3|"&amp;$C35,Log!$M:$M,0)),"")</x:f>
      </x:c>
      <x:c r="G35" s="14" t="n">
        <x:f aca="0">IF(COUNTIF(D35:F35,"Y")+COUNTIF(D35:F35,"partial")+COUNTIF(D35:F35,"N")=3,1,0)</x:f>
        <x:v>0</x:v>
      </x:c>
      <x:c r="H35" s="14" t="n">
        <x:f aca="0">IF(G35=1,IF(AND(D35=E35,E35=F35),1,0),0)</x:f>
        <x:v>0</x:v>
      </x:c>
    </x:row>
    <x:row r="36" ht="15" hidden="0" customHeight="1">
      <x:c r="A36" s="14" t="s">
        <x:v>62</x:v>
      </x:c>
      <x:c r="B36" s="14" t="s">
        <x:v>14</x:v>
      </x:c>
      <x:c r="C36" s="15" t="s">
        <x:v>43</x:v>
      </x:c>
      <x:c r="D36" s="14" t="str">
        <x:f aca="0">IFERROR(INDEX(Log!$J:$J,MATCH($A36&amp;"|"&amp;$B36&amp;"|1|"&amp;$C36,Log!$M:$M,0)),"")</x:f>
      </x:c>
      <x:c r="E36" s="14" t="str">
        <x:f aca="0">IFERROR(INDEX(Log!$J:$J,MATCH($A36&amp;"|"&amp;$B36&amp;"|2|"&amp;$C36,Log!$M:$M,0)),"")</x:f>
      </x:c>
      <x:c r="F36" s="14" t="str">
        <x:f aca="0">IFERROR(INDEX(Log!$J:$J,MATCH($A36&amp;"|"&amp;$B36&amp;"|3|"&amp;$C36,Log!$M:$M,0)),"")</x:f>
      </x:c>
      <x:c r="G36" s="14" t="n">
        <x:f aca="0">IF(COUNTIF(D36:F36,"Y")+COUNTIF(D36:F36,"partial")+COUNTIF(D36:F36,"N")=3,1,0)</x:f>
        <x:v>0</x:v>
      </x:c>
      <x:c r="H36" s="14" t="n">
        <x:f aca="0">IF(G36=1,IF(AND(D36=E36,E36=F36),1,0),0)</x:f>
        <x:v>0</x:v>
      </x:c>
    </x:row>
    <x:row r="37" ht="15" hidden="0" customHeight="1">
      <x:c r="A37" s="14" t="s">
        <x:v>62</x:v>
      </x:c>
      <x:c r="B37" s="14" t="s">
        <x:v>14</x:v>
      </x:c>
      <x:c r="C37" s="15" t="s">
        <x:v>45</x:v>
      </x:c>
      <x:c r="D37" s="14" t="str">
        <x:f aca="0">IFERROR(INDEX(Log!$J:$J,MATCH($A37&amp;"|"&amp;$B37&amp;"|1|"&amp;$C37,Log!$M:$M,0)),"")</x:f>
      </x:c>
      <x:c r="E37" s="14" t="str">
        <x:f aca="0">IFERROR(INDEX(Log!$J:$J,MATCH($A37&amp;"|"&amp;$B37&amp;"|2|"&amp;$C37,Log!$M:$M,0)),"")</x:f>
      </x:c>
      <x:c r="F37" s="14" t="str">
        <x:f aca="0">IFERROR(INDEX(Log!$J:$J,MATCH($A37&amp;"|"&amp;$B37&amp;"|3|"&amp;$C37,Log!$M:$M,0)),"")</x:f>
      </x:c>
      <x:c r="G37" s="14" t="n">
        <x:f aca="0">IF(COUNTIF(D37:F37,"Y")+COUNTIF(D37:F37,"partial")+COUNTIF(D37:F37,"N")=3,1,0)</x:f>
        <x:v>0</x:v>
      </x:c>
      <x:c r="H37" s="14" t="n">
        <x:f aca="0">IF(G37=1,IF(AND(D37=E37,E37=F37),1,0),0)</x:f>
        <x:v>0</x:v>
      </x:c>
    </x:row>
    <x:row r="38" ht="15" hidden="0" customHeight="1">
      <x:c r="A38" s="14" t="s">
        <x:v>62</x:v>
      </x:c>
      <x:c r="B38" s="14" t="s">
        <x:v>14</x:v>
      </x:c>
      <x:c r="C38" s="15" t="s">
        <x:v>47</x:v>
      </x:c>
      <x:c r="D38" s="14" t="str">
        <x:f aca="0">IFERROR(INDEX(Log!$J:$J,MATCH($A38&amp;"|"&amp;$B38&amp;"|1|"&amp;$C38,Log!$M:$M,0)),"")</x:f>
      </x:c>
      <x:c r="E38" s="14" t="str">
        <x:f aca="0">IFERROR(INDEX(Log!$J:$J,MATCH($A38&amp;"|"&amp;$B38&amp;"|2|"&amp;$C38,Log!$M:$M,0)),"")</x:f>
      </x:c>
      <x:c r="F38" s="14" t="str">
        <x:f aca="0">IFERROR(INDEX(Log!$J:$J,MATCH($A38&amp;"|"&amp;$B38&amp;"|3|"&amp;$C38,Log!$M:$M,0)),"")</x:f>
      </x:c>
      <x:c r="G38" s="14" t="n">
        <x:f aca="0">IF(COUNTIF(D38:F38,"Y")+COUNTIF(D38:F38,"partial")+COUNTIF(D38:F38,"N")=3,1,0)</x:f>
        <x:v>0</x:v>
      </x:c>
      <x:c r="H38" s="14" t="n">
        <x:f aca="0">IF(G38=1,IF(AND(D38=E38,E38=F38),1,0),0)</x:f>
        <x:v>0</x:v>
      </x:c>
    </x:row>
    <x:row r="39" ht="15" hidden="0" customHeight="1">
      <x:c r="A39" s="14" t="s">
        <x:v>62</x:v>
      </x:c>
      <x:c r="B39" s="14" t="s">
        <x:v>14</x:v>
      </x:c>
      <x:c r="C39" s="15" t="s">
        <x:v>49</x:v>
      </x:c>
      <x:c r="D39" s="14" t="str">
        <x:f aca="0">IFERROR(INDEX(Log!$J:$J,MATCH($A39&amp;"|"&amp;$B39&amp;"|1|"&amp;$C39,Log!$M:$M,0)),"")</x:f>
      </x:c>
      <x:c r="E39" s="14" t="str">
        <x:f aca="0">IFERROR(INDEX(Log!$J:$J,MATCH($A39&amp;"|"&amp;$B39&amp;"|2|"&amp;$C39,Log!$M:$M,0)),"")</x:f>
      </x:c>
      <x:c r="F39" s="14" t="str">
        <x:f aca="0">IFERROR(INDEX(Log!$J:$J,MATCH($A39&amp;"|"&amp;$B39&amp;"|3|"&amp;$C39,Log!$M:$M,0)),"")</x:f>
      </x:c>
      <x:c r="G39" s="14" t="n">
        <x:f aca="0">IF(COUNTIF(D39:F39,"Y")+COUNTIF(D39:F39,"partial")+COUNTIF(D39:F39,"N")=3,1,0)</x:f>
        <x:v>0</x:v>
      </x:c>
      <x:c r="H39" s="14" t="n">
        <x:f aca="0">IF(G39=1,IF(AND(D39=E39,E39=F39),1,0),0)</x:f>
        <x:v>0</x:v>
      </x:c>
    </x:row>
    <x:row r="40" ht="15" hidden="0" customHeight="1">
      <x:c r="A40" s="14" t="s">
        <x:v>62</x:v>
      </x:c>
      <x:c r="B40" s="14" t="s">
        <x:v>14</x:v>
      </x:c>
      <x:c r="C40" s="15" t="s">
        <x:v>51</x:v>
      </x:c>
      <x:c r="D40" s="14" t="str">
        <x:f aca="0">IFERROR(INDEX(Log!$J:$J,MATCH($A40&amp;"|"&amp;$B40&amp;"|1|"&amp;$C40,Log!$M:$M,0)),"")</x:f>
      </x:c>
      <x:c r="E40" s="14" t="str">
        <x:f aca="0">IFERROR(INDEX(Log!$J:$J,MATCH($A40&amp;"|"&amp;$B40&amp;"|2|"&amp;$C40,Log!$M:$M,0)),"")</x:f>
      </x:c>
      <x:c r="F40" s="14" t="str">
        <x:f aca="0">IFERROR(INDEX(Log!$J:$J,MATCH($A40&amp;"|"&amp;$B40&amp;"|3|"&amp;$C40,Log!$M:$M,0)),"")</x:f>
      </x:c>
      <x:c r="G40" s="14" t="n">
        <x:f aca="0">IF(COUNTIF(D40:F40,"Y")+COUNTIF(D40:F40,"partial")+COUNTIF(D40:F40,"N")=3,1,0)</x:f>
        <x:v>0</x:v>
      </x:c>
      <x:c r="H40" s="14" t="n">
        <x:f aca="0">IF(G40=1,IF(AND(D40=E40,E40=F40),1,0),0)</x:f>
        <x:v>0</x:v>
      </x:c>
    </x:row>
    <x:row r="41" ht="15" hidden="0" customHeight="1">
      <x:c r="A41" s="14" t="s">
        <x:v>62</x:v>
      </x:c>
      <x:c r="B41" s="14" t="s">
        <x:v>14</x:v>
      </x:c>
      <x:c r="C41" s="15" t="s">
        <x:v>53</x:v>
      </x:c>
      <x:c r="D41" s="14" t="str">
        <x:f aca="0">IFERROR(INDEX(Log!$J:$J,MATCH($A41&amp;"|"&amp;$B41&amp;"|1|"&amp;$C41,Log!$M:$M,0)),"")</x:f>
      </x:c>
      <x:c r="E41" s="14" t="str">
        <x:f aca="0">IFERROR(INDEX(Log!$J:$J,MATCH($A41&amp;"|"&amp;$B41&amp;"|2|"&amp;$C41,Log!$M:$M,0)),"")</x:f>
      </x:c>
      <x:c r="F41" s="14" t="str">
        <x:f aca="0">IFERROR(INDEX(Log!$J:$J,MATCH($A41&amp;"|"&amp;$B41&amp;"|3|"&amp;$C41,Log!$M:$M,0)),"")</x:f>
      </x:c>
      <x:c r="G41" s="14" t="n">
        <x:f aca="0">IF(COUNTIF(D41:F41,"Y")+COUNTIF(D41:F41,"partial")+COUNTIF(D41:F41,"N")=3,1,0)</x:f>
        <x:v>0</x:v>
      </x:c>
      <x:c r="H41" s="14" t="n">
        <x:f aca="0">IF(G41=1,IF(AND(D41=E41,E41=F41),1,0),0)</x:f>
        <x:v>0</x:v>
      </x:c>
    </x:row>
    <x:row r="42" ht="15" hidden="0" customHeight="1">
      <x:c r="A42" s="14" t="s">
        <x:v>62</x:v>
      </x:c>
      <x:c r="B42" s="14" t="s">
        <x:v>16</x:v>
      </x:c>
      <x:c r="C42" s="15" t="s">
        <x:v>35</x:v>
      </x:c>
      <x:c r="D42" s="14" t="str">
        <x:f aca="0">IFERROR(INDEX(Log!$J:$J,MATCH($A42&amp;"|"&amp;$B42&amp;"|1|"&amp;$C42,Log!$M:$M,0)),"")</x:f>
      </x:c>
      <x:c r="E42" s="14" t="str">
        <x:f aca="0">IFERROR(INDEX(Log!$J:$J,MATCH($A42&amp;"|"&amp;$B42&amp;"|2|"&amp;$C42,Log!$M:$M,0)),"")</x:f>
      </x:c>
      <x:c r="F42" s="14" t="str">
        <x:f aca="0">IFERROR(INDEX(Log!$J:$J,MATCH($A42&amp;"|"&amp;$B42&amp;"|3|"&amp;$C42,Log!$M:$M,0)),"")</x:f>
      </x:c>
      <x:c r="G42" s="14" t="n">
        <x:f aca="0">IF(COUNTIF(D42:F42,"Y")+COUNTIF(D42:F42,"partial")+COUNTIF(D42:F42,"N")=3,1,0)</x:f>
        <x:v>0</x:v>
      </x:c>
      <x:c r="H42" s="14" t="n">
        <x:f aca="0">IF(G42=1,IF(AND(D42=E42,E42=F42),1,0),0)</x:f>
        <x:v>0</x:v>
      </x:c>
    </x:row>
    <x:row r="43" ht="15" hidden="0" customHeight="1">
      <x:c r="A43" s="14" t="s">
        <x:v>62</x:v>
      </x:c>
      <x:c r="B43" s="14" t="s">
        <x:v>16</x:v>
      </x:c>
      <x:c r="C43" s="15" t="s">
        <x:v>37</x:v>
      </x:c>
      <x:c r="D43" s="14" t="str">
        <x:f aca="0">IFERROR(INDEX(Log!$J:$J,MATCH($A43&amp;"|"&amp;$B43&amp;"|1|"&amp;$C43,Log!$M:$M,0)),"")</x:f>
      </x:c>
      <x:c r="E43" s="14" t="str">
        <x:f aca="0">IFERROR(INDEX(Log!$J:$J,MATCH($A43&amp;"|"&amp;$B43&amp;"|2|"&amp;$C43,Log!$M:$M,0)),"")</x:f>
      </x:c>
      <x:c r="F43" s="14" t="str">
        <x:f aca="0">IFERROR(INDEX(Log!$J:$J,MATCH($A43&amp;"|"&amp;$B43&amp;"|3|"&amp;$C43,Log!$M:$M,0)),"")</x:f>
      </x:c>
      <x:c r="G43" s="14" t="n">
        <x:f aca="0">IF(COUNTIF(D43:F43,"Y")+COUNTIF(D43:F43,"partial")+COUNTIF(D43:F43,"N")=3,1,0)</x:f>
        <x:v>0</x:v>
      </x:c>
      <x:c r="H43" s="14" t="n">
        <x:f aca="0">IF(G43=1,IF(AND(D43=E43,E43=F43),1,0),0)</x:f>
        <x:v>0</x:v>
      </x:c>
    </x:row>
    <x:row r="44" ht="15" hidden="0" customHeight="1">
      <x:c r="A44" s="14" t="s">
        <x:v>62</x:v>
      </x:c>
      <x:c r="B44" s="14" t="s">
        <x:v>16</x:v>
      </x:c>
      <x:c r="C44" s="15" t="s">
        <x:v>39</x:v>
      </x:c>
      <x:c r="D44" s="14" t="str">
        <x:f aca="0">IFERROR(INDEX(Log!$J:$J,MATCH($A44&amp;"|"&amp;$B44&amp;"|1|"&amp;$C44,Log!$M:$M,0)),"")</x:f>
      </x:c>
      <x:c r="E44" s="14" t="str">
        <x:f aca="0">IFERROR(INDEX(Log!$J:$J,MATCH($A44&amp;"|"&amp;$B44&amp;"|2|"&amp;$C44,Log!$M:$M,0)),"")</x:f>
      </x:c>
      <x:c r="F44" s="14" t="str">
        <x:f aca="0">IFERROR(INDEX(Log!$J:$J,MATCH($A44&amp;"|"&amp;$B44&amp;"|3|"&amp;$C44,Log!$M:$M,0)),"")</x:f>
      </x:c>
      <x:c r="G44" s="14" t="n">
        <x:f aca="0">IF(COUNTIF(D44:F44,"Y")+COUNTIF(D44:F44,"partial")+COUNTIF(D44:F44,"N")=3,1,0)</x:f>
        <x:v>0</x:v>
      </x:c>
      <x:c r="H44" s="14" t="n">
        <x:f aca="0">IF(G44=1,IF(AND(D44=E44,E44=F44),1,0),0)</x:f>
        <x:v>0</x:v>
      </x:c>
    </x:row>
    <x:row r="45" ht="15" hidden="0" customHeight="1">
      <x:c r="A45" s="14" t="s">
        <x:v>62</x:v>
      </x:c>
      <x:c r="B45" s="14" t="s">
        <x:v>16</x:v>
      </x:c>
      <x:c r="C45" s="15" t="s">
        <x:v>41</x:v>
      </x:c>
      <x:c r="D45" s="14" t="str">
        <x:f aca="0">IFERROR(INDEX(Log!$J:$J,MATCH($A45&amp;"|"&amp;$B45&amp;"|1|"&amp;$C45,Log!$M:$M,0)),"")</x:f>
      </x:c>
      <x:c r="E45" s="14" t="str">
        <x:f aca="0">IFERROR(INDEX(Log!$J:$J,MATCH($A45&amp;"|"&amp;$B45&amp;"|2|"&amp;$C45,Log!$M:$M,0)),"")</x:f>
      </x:c>
      <x:c r="F45" s="14" t="str">
        <x:f aca="0">IFERROR(INDEX(Log!$J:$J,MATCH($A45&amp;"|"&amp;$B45&amp;"|3|"&amp;$C45,Log!$M:$M,0)),"")</x:f>
      </x:c>
      <x:c r="G45" s="14" t="n">
        <x:f aca="0">IF(COUNTIF(D45:F45,"Y")+COUNTIF(D45:F45,"partial")+COUNTIF(D45:F45,"N")=3,1,0)</x:f>
        <x:v>0</x:v>
      </x:c>
      <x:c r="H45" s="14" t="n">
        <x:f aca="0">IF(G45=1,IF(AND(D45=E45,E45=F45),1,0),0)</x:f>
        <x:v>0</x:v>
      </x:c>
    </x:row>
    <x:row r="46" ht="15" hidden="0" customHeight="1">
      <x:c r="A46" s="14" t="s">
        <x:v>62</x:v>
      </x:c>
      <x:c r="B46" s="14" t="s">
        <x:v>16</x:v>
      </x:c>
      <x:c r="C46" s="15" t="s">
        <x:v>43</x:v>
      </x:c>
      <x:c r="D46" s="14" t="str">
        <x:f aca="0">IFERROR(INDEX(Log!$J:$J,MATCH($A46&amp;"|"&amp;$B46&amp;"|1|"&amp;$C46,Log!$M:$M,0)),"")</x:f>
      </x:c>
      <x:c r="E46" s="14" t="str">
        <x:f aca="0">IFERROR(INDEX(Log!$J:$J,MATCH($A46&amp;"|"&amp;$B46&amp;"|2|"&amp;$C46,Log!$M:$M,0)),"")</x:f>
      </x:c>
      <x:c r="F46" s="14" t="str">
        <x:f aca="0">IFERROR(INDEX(Log!$J:$J,MATCH($A46&amp;"|"&amp;$B46&amp;"|3|"&amp;$C46,Log!$M:$M,0)),"")</x:f>
      </x:c>
      <x:c r="G46" s="14" t="n">
        <x:f aca="0">IF(COUNTIF(D46:F46,"Y")+COUNTIF(D46:F46,"partial")+COUNTIF(D46:F46,"N")=3,1,0)</x:f>
        <x:v>0</x:v>
      </x:c>
      <x:c r="H46" s="14" t="n">
        <x:f aca="0">IF(G46=1,IF(AND(D46=E46,E46=F46),1,0),0)</x:f>
        <x:v>0</x:v>
      </x:c>
    </x:row>
    <x:row r="47" ht="15" hidden="0" customHeight="1">
      <x:c r="A47" s="14" t="s">
        <x:v>62</x:v>
      </x:c>
      <x:c r="B47" s="14" t="s">
        <x:v>16</x:v>
      </x:c>
      <x:c r="C47" s="15" t="s">
        <x:v>45</x:v>
      </x:c>
      <x:c r="D47" s="14" t="str">
        <x:f aca="0">IFERROR(INDEX(Log!$J:$J,MATCH($A47&amp;"|"&amp;$B47&amp;"|1|"&amp;$C47,Log!$M:$M,0)),"")</x:f>
      </x:c>
      <x:c r="E47" s="14" t="str">
        <x:f aca="0">IFERROR(INDEX(Log!$J:$J,MATCH($A47&amp;"|"&amp;$B47&amp;"|2|"&amp;$C47,Log!$M:$M,0)),"")</x:f>
      </x:c>
      <x:c r="F47" s="14" t="str">
        <x:f aca="0">IFERROR(INDEX(Log!$J:$J,MATCH($A47&amp;"|"&amp;$B47&amp;"|3|"&amp;$C47,Log!$M:$M,0)),"")</x:f>
      </x:c>
      <x:c r="G47" s="14" t="n">
        <x:f aca="0">IF(COUNTIF(D47:F47,"Y")+COUNTIF(D47:F47,"partial")+COUNTIF(D47:F47,"N")=3,1,0)</x:f>
        <x:v>0</x:v>
      </x:c>
      <x:c r="H47" s="14" t="n">
        <x:f aca="0">IF(G47=1,IF(AND(D47=E47,E47=F47),1,0),0)</x:f>
        <x:v>0</x:v>
      </x:c>
    </x:row>
    <x:row r="48" ht="15" hidden="0" customHeight="1">
      <x:c r="A48" s="14" t="s">
        <x:v>62</x:v>
      </x:c>
      <x:c r="B48" s="14" t="s">
        <x:v>16</x:v>
      </x:c>
      <x:c r="C48" s="15" t="s">
        <x:v>47</x:v>
      </x:c>
      <x:c r="D48" s="14" t="str">
        <x:f aca="0">IFERROR(INDEX(Log!$J:$J,MATCH($A48&amp;"|"&amp;$B48&amp;"|1|"&amp;$C48,Log!$M:$M,0)),"")</x:f>
      </x:c>
      <x:c r="E48" s="14" t="str">
        <x:f aca="0">IFERROR(INDEX(Log!$J:$J,MATCH($A48&amp;"|"&amp;$B48&amp;"|2|"&amp;$C48,Log!$M:$M,0)),"")</x:f>
      </x:c>
      <x:c r="F48" s="14" t="str">
        <x:f aca="0">IFERROR(INDEX(Log!$J:$J,MATCH($A48&amp;"|"&amp;$B48&amp;"|3|"&amp;$C48,Log!$M:$M,0)),"")</x:f>
      </x:c>
      <x:c r="G48" s="14" t="n">
        <x:f aca="0">IF(COUNTIF(D48:F48,"Y")+COUNTIF(D48:F48,"partial")+COUNTIF(D48:F48,"N")=3,1,0)</x:f>
        <x:v>0</x:v>
      </x:c>
      <x:c r="H48" s="14" t="n">
        <x:f aca="0">IF(G48=1,IF(AND(D48=E48,E48=F48),1,0),0)</x:f>
        <x:v>0</x:v>
      </x:c>
    </x:row>
    <x:row r="49" ht="15" hidden="0" customHeight="1">
      <x:c r="A49" s="14" t="s">
        <x:v>62</x:v>
      </x:c>
      <x:c r="B49" s="14" t="s">
        <x:v>16</x:v>
      </x:c>
      <x:c r="C49" s="15" t="s">
        <x:v>49</x:v>
      </x:c>
      <x:c r="D49" s="14" t="str">
        <x:f aca="0">IFERROR(INDEX(Log!$J:$J,MATCH($A49&amp;"|"&amp;$B49&amp;"|1|"&amp;$C49,Log!$M:$M,0)),"")</x:f>
      </x:c>
      <x:c r="E49" s="14" t="str">
        <x:f aca="0">IFERROR(INDEX(Log!$J:$J,MATCH($A49&amp;"|"&amp;$B49&amp;"|2|"&amp;$C49,Log!$M:$M,0)),"")</x:f>
      </x:c>
      <x:c r="F49" s="14" t="str">
        <x:f aca="0">IFERROR(INDEX(Log!$J:$J,MATCH($A49&amp;"|"&amp;$B49&amp;"|3|"&amp;$C49,Log!$M:$M,0)),"")</x:f>
      </x:c>
      <x:c r="G49" s="14" t="n">
        <x:f aca="0">IF(COUNTIF(D49:F49,"Y")+COUNTIF(D49:F49,"partial")+COUNTIF(D49:F49,"N")=3,1,0)</x:f>
        <x:v>0</x:v>
      </x:c>
      <x:c r="H49" s="14" t="n">
        <x:f aca="0">IF(G49=1,IF(AND(D49=E49,E49=F49),1,0),0)</x:f>
        <x:v>0</x:v>
      </x:c>
    </x:row>
    <x:row r="50" ht="15" hidden="0" customHeight="1">
      <x:c r="A50" s="14" t="s">
        <x:v>62</x:v>
      </x:c>
      <x:c r="B50" s="14" t="s">
        <x:v>16</x:v>
      </x:c>
      <x:c r="C50" s="15" t="s">
        <x:v>51</x:v>
      </x:c>
      <x:c r="D50" s="14" t="str">
        <x:f aca="0">IFERROR(INDEX(Log!$J:$J,MATCH($A50&amp;"|"&amp;$B50&amp;"|1|"&amp;$C50,Log!$M:$M,0)),"")</x:f>
      </x:c>
      <x:c r="E50" s="14" t="str">
        <x:f aca="0">IFERROR(INDEX(Log!$J:$J,MATCH($A50&amp;"|"&amp;$B50&amp;"|2|"&amp;$C50,Log!$M:$M,0)),"")</x:f>
      </x:c>
      <x:c r="F50" s="14" t="str">
        <x:f aca="0">IFERROR(INDEX(Log!$J:$J,MATCH($A50&amp;"|"&amp;$B50&amp;"|3|"&amp;$C50,Log!$M:$M,0)),"")</x:f>
      </x:c>
      <x:c r="G50" s="14" t="n">
        <x:f aca="0">IF(COUNTIF(D50:F50,"Y")+COUNTIF(D50:F50,"partial")+COUNTIF(D50:F50,"N")=3,1,0)</x:f>
        <x:v>0</x:v>
      </x:c>
      <x:c r="H50" s="14" t="n">
        <x:f aca="0">IF(G50=1,IF(AND(D50=E50,E50=F50),1,0),0)</x:f>
        <x:v>0</x:v>
      </x:c>
    </x:row>
    <x:row r="51" ht="15" hidden="0" customHeight="1">
      <x:c r="A51" s="14" t="s">
        <x:v>62</x:v>
      </x:c>
      <x:c r="B51" s="14" t="s">
        <x:v>16</x:v>
      </x:c>
      <x:c r="C51" s="15" t="s">
        <x:v>53</x:v>
      </x:c>
      <x:c r="D51" s="14" t="str">
        <x:f aca="0">IFERROR(INDEX(Log!$J:$J,MATCH($A51&amp;"|"&amp;$B51&amp;"|1|"&amp;$C51,Log!$M:$M,0)),"")</x:f>
      </x:c>
      <x:c r="E51" s="14" t="str">
        <x:f aca="0">IFERROR(INDEX(Log!$J:$J,MATCH($A51&amp;"|"&amp;$B51&amp;"|2|"&amp;$C51,Log!$M:$M,0)),"")</x:f>
      </x:c>
      <x:c r="F51" s="14" t="str">
        <x:f aca="0">IFERROR(INDEX(Log!$J:$J,MATCH($A51&amp;"|"&amp;$B51&amp;"|3|"&amp;$C51,Log!$M:$M,0)),"")</x:f>
      </x:c>
      <x:c r="G51" s="14" t="n">
        <x:f aca="0">IF(COUNTIF(D51:F51,"Y")+COUNTIF(D51:F51,"partial")+COUNTIF(D51:F51,"N")=3,1,0)</x:f>
        <x:v>0</x:v>
      </x:c>
      <x:c r="H51" s="14" t="n">
        <x:f aca="0">IF(G51=1,IF(AND(D51=E51,E51=F51),1,0),0)</x:f>
        <x:v>0</x:v>
      </x:c>
    </x:row>
    <x:row r="52" ht="15" hidden="0" customHeight="1">
      <x:c r="A52" s="14" t="s">
        <x:v>62</x:v>
      </x:c>
      <x:c r="B52" s="14" t="s">
        <x:v>18</x:v>
      </x:c>
      <x:c r="C52" s="15" t="s">
        <x:v>35</x:v>
      </x:c>
      <x:c r="D52" s="14" t="str">
        <x:f aca="0">IFERROR(INDEX(Log!$J:$J,MATCH($A52&amp;"|"&amp;$B52&amp;"|1|"&amp;$C52,Log!$M:$M,0)),"")</x:f>
      </x:c>
      <x:c r="E52" s="14" t="str">
        <x:f aca="0">IFERROR(INDEX(Log!$J:$J,MATCH($A52&amp;"|"&amp;$B52&amp;"|2|"&amp;$C52,Log!$M:$M,0)),"")</x:f>
      </x:c>
      <x:c r="F52" s="14" t="str">
        <x:f aca="0">IFERROR(INDEX(Log!$J:$J,MATCH($A52&amp;"|"&amp;$B52&amp;"|3|"&amp;$C52,Log!$M:$M,0)),"")</x:f>
      </x:c>
      <x:c r="G52" s="14" t="n">
        <x:f aca="0">IF(COUNTIF(D52:F52,"Y")+COUNTIF(D52:F52,"partial")+COUNTIF(D52:F52,"N")=3,1,0)</x:f>
        <x:v>0</x:v>
      </x:c>
      <x:c r="H52" s="14" t="n">
        <x:f aca="0">IF(G52=1,IF(AND(D52=E52,E52=F52),1,0),0)</x:f>
        <x:v>0</x:v>
      </x:c>
    </x:row>
    <x:row r="53" ht="15" hidden="0" customHeight="1">
      <x:c r="A53" s="14" t="s">
        <x:v>62</x:v>
      </x:c>
      <x:c r="B53" s="14" t="s">
        <x:v>18</x:v>
      </x:c>
      <x:c r="C53" s="15" t="s">
        <x:v>37</x:v>
      </x:c>
      <x:c r="D53" s="14" t="str">
        <x:f aca="0">IFERROR(INDEX(Log!$J:$J,MATCH($A53&amp;"|"&amp;$B53&amp;"|1|"&amp;$C53,Log!$M:$M,0)),"")</x:f>
      </x:c>
      <x:c r="E53" s="14" t="str">
        <x:f aca="0">IFERROR(INDEX(Log!$J:$J,MATCH($A53&amp;"|"&amp;$B53&amp;"|2|"&amp;$C53,Log!$M:$M,0)),"")</x:f>
      </x:c>
      <x:c r="F53" s="14" t="str">
        <x:f aca="0">IFERROR(INDEX(Log!$J:$J,MATCH($A53&amp;"|"&amp;$B53&amp;"|3|"&amp;$C53,Log!$M:$M,0)),"")</x:f>
      </x:c>
      <x:c r="G53" s="14" t="n">
        <x:f aca="0">IF(COUNTIF(D53:F53,"Y")+COUNTIF(D53:F53,"partial")+COUNTIF(D53:F53,"N")=3,1,0)</x:f>
        <x:v>0</x:v>
      </x:c>
      <x:c r="H53" s="14" t="n">
        <x:f aca="0">IF(G53=1,IF(AND(D53=E53,E53=F53),1,0),0)</x:f>
        <x:v>0</x:v>
      </x:c>
    </x:row>
    <x:row r="54" ht="15" hidden="0" customHeight="1">
      <x:c r="A54" s="14" t="s">
        <x:v>62</x:v>
      </x:c>
      <x:c r="B54" s="14" t="s">
        <x:v>18</x:v>
      </x:c>
      <x:c r="C54" s="15" t="s">
        <x:v>39</x:v>
      </x:c>
      <x:c r="D54" s="14" t="str">
        <x:f aca="0">IFERROR(INDEX(Log!$J:$J,MATCH($A54&amp;"|"&amp;$B54&amp;"|1|"&amp;$C54,Log!$M:$M,0)),"")</x:f>
      </x:c>
      <x:c r="E54" s="14" t="str">
        <x:f aca="0">IFERROR(INDEX(Log!$J:$J,MATCH($A54&amp;"|"&amp;$B54&amp;"|2|"&amp;$C54,Log!$M:$M,0)),"")</x:f>
      </x:c>
      <x:c r="F54" s="14" t="str">
        <x:f aca="0">IFERROR(INDEX(Log!$J:$J,MATCH($A54&amp;"|"&amp;$B54&amp;"|3|"&amp;$C54,Log!$M:$M,0)),"")</x:f>
      </x:c>
      <x:c r="G54" s="14" t="n">
        <x:f aca="0">IF(COUNTIF(D54:F54,"Y")+COUNTIF(D54:F54,"partial")+COUNTIF(D54:F54,"N")=3,1,0)</x:f>
        <x:v>0</x:v>
      </x:c>
      <x:c r="H54" s="14" t="n">
        <x:f aca="0">IF(G54=1,IF(AND(D54=E54,E54=F54),1,0),0)</x:f>
        <x:v>0</x:v>
      </x:c>
    </x:row>
    <x:row r="55" ht="15" hidden="0" customHeight="1">
      <x:c r="A55" s="14" t="s">
        <x:v>62</x:v>
      </x:c>
      <x:c r="B55" s="14" t="s">
        <x:v>18</x:v>
      </x:c>
      <x:c r="C55" s="15" t="s">
        <x:v>41</x:v>
      </x:c>
      <x:c r="D55" s="14" t="str">
        <x:f aca="0">IFERROR(INDEX(Log!$J:$J,MATCH($A55&amp;"|"&amp;$B55&amp;"|1|"&amp;$C55,Log!$M:$M,0)),"")</x:f>
      </x:c>
      <x:c r="E55" s="14" t="str">
        <x:f aca="0">IFERROR(INDEX(Log!$J:$J,MATCH($A55&amp;"|"&amp;$B55&amp;"|2|"&amp;$C55,Log!$M:$M,0)),"")</x:f>
      </x:c>
      <x:c r="F55" s="14" t="str">
        <x:f aca="0">IFERROR(INDEX(Log!$J:$J,MATCH($A55&amp;"|"&amp;$B55&amp;"|3|"&amp;$C55,Log!$M:$M,0)),"")</x:f>
      </x:c>
      <x:c r="G55" s="14" t="n">
        <x:f aca="0">IF(COUNTIF(D55:F55,"Y")+COUNTIF(D55:F55,"partial")+COUNTIF(D55:F55,"N")=3,1,0)</x:f>
        <x:v>0</x:v>
      </x:c>
      <x:c r="H55" s="14" t="n">
        <x:f aca="0">IF(G55=1,IF(AND(D55=E55,E55=F55),1,0),0)</x:f>
        <x:v>0</x:v>
      </x:c>
    </x:row>
    <x:row r="56" ht="15" hidden="0" customHeight="1">
      <x:c r="A56" s="14" t="s">
        <x:v>62</x:v>
      </x:c>
      <x:c r="B56" s="14" t="s">
        <x:v>18</x:v>
      </x:c>
      <x:c r="C56" s="15" t="s">
        <x:v>43</x:v>
      </x:c>
      <x:c r="D56" s="14" t="str">
        <x:f aca="0">IFERROR(INDEX(Log!$J:$J,MATCH($A56&amp;"|"&amp;$B56&amp;"|1|"&amp;$C56,Log!$M:$M,0)),"")</x:f>
      </x:c>
      <x:c r="E56" s="14" t="str">
        <x:f aca="0">IFERROR(INDEX(Log!$J:$J,MATCH($A56&amp;"|"&amp;$B56&amp;"|2|"&amp;$C56,Log!$M:$M,0)),"")</x:f>
      </x:c>
      <x:c r="F56" s="14" t="str">
        <x:f aca="0">IFERROR(INDEX(Log!$J:$J,MATCH($A56&amp;"|"&amp;$B56&amp;"|3|"&amp;$C56,Log!$M:$M,0)),"")</x:f>
      </x:c>
      <x:c r="G56" s="14" t="n">
        <x:f aca="0">IF(COUNTIF(D56:F56,"Y")+COUNTIF(D56:F56,"partial")+COUNTIF(D56:F56,"N")=3,1,0)</x:f>
        <x:v>0</x:v>
      </x:c>
      <x:c r="H56" s="14" t="n">
        <x:f aca="0">IF(G56=1,IF(AND(D56=E56,E56=F56),1,0),0)</x:f>
        <x:v>0</x:v>
      </x:c>
    </x:row>
    <x:row r="57" ht="15" hidden="0" customHeight="1">
      <x:c r="A57" s="14" t="s">
        <x:v>62</x:v>
      </x:c>
      <x:c r="B57" s="14" t="s">
        <x:v>18</x:v>
      </x:c>
      <x:c r="C57" s="15" t="s">
        <x:v>45</x:v>
      </x:c>
      <x:c r="D57" s="14" t="str">
        <x:f aca="0">IFERROR(INDEX(Log!$J:$J,MATCH($A57&amp;"|"&amp;$B57&amp;"|1|"&amp;$C57,Log!$M:$M,0)),"")</x:f>
      </x:c>
      <x:c r="E57" s="14" t="str">
        <x:f aca="0">IFERROR(INDEX(Log!$J:$J,MATCH($A57&amp;"|"&amp;$B57&amp;"|2|"&amp;$C57,Log!$M:$M,0)),"")</x:f>
      </x:c>
      <x:c r="F57" s="14" t="str">
        <x:f aca="0">IFERROR(INDEX(Log!$J:$J,MATCH($A57&amp;"|"&amp;$B57&amp;"|3|"&amp;$C57,Log!$M:$M,0)),"")</x:f>
      </x:c>
      <x:c r="G57" s="14" t="n">
        <x:f aca="0">IF(COUNTIF(D57:F57,"Y")+COUNTIF(D57:F57,"partial")+COUNTIF(D57:F57,"N")=3,1,0)</x:f>
        <x:v>0</x:v>
      </x:c>
      <x:c r="H57" s="14" t="n">
        <x:f aca="0">IF(G57=1,IF(AND(D57=E57,E57=F57),1,0),0)</x:f>
        <x:v>0</x:v>
      </x:c>
    </x:row>
    <x:row r="58" ht="15" hidden="0" customHeight="1">
      <x:c r="A58" s="14" t="s">
        <x:v>62</x:v>
      </x:c>
      <x:c r="B58" s="14" t="s">
        <x:v>18</x:v>
      </x:c>
      <x:c r="C58" s="15" t="s">
        <x:v>47</x:v>
      </x:c>
      <x:c r="D58" s="14" t="str">
        <x:f aca="0">IFERROR(INDEX(Log!$J:$J,MATCH($A58&amp;"|"&amp;$B58&amp;"|1|"&amp;$C58,Log!$M:$M,0)),"")</x:f>
      </x:c>
      <x:c r="E58" s="14" t="str">
        <x:f aca="0">IFERROR(INDEX(Log!$J:$J,MATCH($A58&amp;"|"&amp;$B58&amp;"|2|"&amp;$C58,Log!$M:$M,0)),"")</x:f>
      </x:c>
      <x:c r="F58" s="14" t="str">
        <x:f aca="0">IFERROR(INDEX(Log!$J:$J,MATCH($A58&amp;"|"&amp;$B58&amp;"|3|"&amp;$C58,Log!$M:$M,0)),"")</x:f>
      </x:c>
      <x:c r="G58" s="14" t="n">
        <x:f aca="0">IF(COUNTIF(D58:F58,"Y")+COUNTIF(D58:F58,"partial")+COUNTIF(D58:F58,"N")=3,1,0)</x:f>
        <x:v>0</x:v>
      </x:c>
      <x:c r="H58" s="14" t="n">
        <x:f aca="0">IF(G58=1,IF(AND(D58=E58,E58=F58),1,0),0)</x:f>
        <x:v>0</x:v>
      </x:c>
    </x:row>
    <x:row r="59" ht="15" hidden="0" customHeight="1">
      <x:c r="A59" s="14" t="s">
        <x:v>62</x:v>
      </x:c>
      <x:c r="B59" s="14" t="s">
        <x:v>18</x:v>
      </x:c>
      <x:c r="C59" s="15" t="s">
        <x:v>49</x:v>
      </x:c>
      <x:c r="D59" s="14" t="str">
        <x:f aca="0">IFERROR(INDEX(Log!$J:$J,MATCH($A59&amp;"|"&amp;$B59&amp;"|1|"&amp;$C59,Log!$M:$M,0)),"")</x:f>
      </x:c>
      <x:c r="E59" s="14" t="str">
        <x:f aca="0">IFERROR(INDEX(Log!$J:$J,MATCH($A59&amp;"|"&amp;$B59&amp;"|2|"&amp;$C59,Log!$M:$M,0)),"")</x:f>
      </x:c>
      <x:c r="F59" s="14" t="str">
        <x:f aca="0">IFERROR(INDEX(Log!$J:$J,MATCH($A59&amp;"|"&amp;$B59&amp;"|3|"&amp;$C59,Log!$M:$M,0)),"")</x:f>
      </x:c>
      <x:c r="G59" s="14" t="n">
        <x:f aca="0">IF(COUNTIF(D59:F59,"Y")+COUNTIF(D59:F59,"partial")+COUNTIF(D59:F59,"N")=3,1,0)</x:f>
        <x:v>0</x:v>
      </x:c>
      <x:c r="H59" s="14" t="n">
        <x:f aca="0">IF(G59=1,IF(AND(D59=E59,E59=F59),1,0),0)</x:f>
        <x:v>0</x:v>
      </x:c>
    </x:row>
    <x:row r="60" ht="15" hidden="0" customHeight="1">
      <x:c r="A60" s="14" t="s">
        <x:v>62</x:v>
      </x:c>
      <x:c r="B60" s="14" t="s">
        <x:v>18</x:v>
      </x:c>
      <x:c r="C60" s="15" t="s">
        <x:v>51</x:v>
      </x:c>
      <x:c r="D60" s="14" t="str">
        <x:f aca="0">IFERROR(INDEX(Log!$J:$J,MATCH($A60&amp;"|"&amp;$B60&amp;"|1|"&amp;$C60,Log!$M:$M,0)),"")</x:f>
      </x:c>
      <x:c r="E60" s="14" t="str">
        <x:f aca="0">IFERROR(INDEX(Log!$J:$J,MATCH($A60&amp;"|"&amp;$B60&amp;"|2|"&amp;$C60,Log!$M:$M,0)),"")</x:f>
      </x:c>
      <x:c r="F60" s="14" t="str">
        <x:f aca="0">IFERROR(INDEX(Log!$J:$J,MATCH($A60&amp;"|"&amp;$B60&amp;"|3|"&amp;$C60,Log!$M:$M,0)),"")</x:f>
      </x:c>
      <x:c r="G60" s="14" t="n">
        <x:f aca="0">IF(COUNTIF(D60:F60,"Y")+COUNTIF(D60:F60,"partial")+COUNTIF(D60:F60,"N")=3,1,0)</x:f>
        <x:v>0</x:v>
      </x:c>
      <x:c r="H60" s="14" t="n">
        <x:f aca="0">IF(G60=1,IF(AND(D60=E60,E60=F60),1,0),0)</x:f>
        <x:v>0</x:v>
      </x:c>
    </x:row>
    <x:row r="61" ht="15" hidden="0" customHeight="1">
      <x:c r="A61" s="14" t="s">
        <x:v>62</x:v>
      </x:c>
      <x:c r="B61" s="14" t="s">
        <x:v>18</x:v>
      </x:c>
      <x:c r="C61" s="15" t="s">
        <x:v>53</x:v>
      </x:c>
      <x:c r="D61" s="14" t="str">
        <x:f aca="0">IFERROR(INDEX(Log!$J:$J,MATCH($A61&amp;"|"&amp;$B61&amp;"|1|"&amp;$C61,Log!$M:$M,0)),"")</x:f>
      </x:c>
      <x:c r="E61" s="14" t="str">
        <x:f aca="0">IFERROR(INDEX(Log!$J:$J,MATCH($A61&amp;"|"&amp;$B61&amp;"|2|"&amp;$C61,Log!$M:$M,0)),"")</x:f>
      </x:c>
      <x:c r="F61" s="14" t="str">
        <x:f aca="0">IFERROR(INDEX(Log!$J:$J,MATCH($A61&amp;"|"&amp;$B61&amp;"|3|"&amp;$C61,Log!$M:$M,0)),"")</x:f>
      </x:c>
      <x:c r="G61" s="14" t="n">
        <x:f aca="0">IF(COUNTIF(D61:F61,"Y")+COUNTIF(D61:F61,"partial")+COUNTIF(D61:F61,"N")=3,1,0)</x:f>
        <x:v>0</x:v>
      </x:c>
      <x:c r="H61" s="14" t="n">
        <x:f aca="0">IF(G61=1,IF(AND(D61=E61,E61=F61),1,0),0)</x:f>
        <x:v>0</x:v>
      </x:c>
    </x:row>
    <x:row r="62" ht="15" hidden="0" customHeight="1">
      <x:c r="A62" s="14" t="str">
        <x:f aca="0">Reference!$B$3</x:f>
        <x:v>RC</x:v>
      </x:c>
      <x:c r="B62" s="14" t="s">
        <x:v>8</x:v>
      </x:c>
      <x:c r="C62" s="15" t="s">
        <x:v>35</x:v>
      </x:c>
      <x:c r="D62" s="14" t="str">
        <x:f aca="0">IFERROR(INDEX(Log!$J:$J,MATCH($A62&amp;"|"&amp;$B62&amp;"|1|"&amp;$C62,Log!$M:$M,0)),"")</x:f>
      </x:c>
      <x:c r="E62" s="14" t="str">
        <x:f aca="0">IFERROR(INDEX(Log!$J:$J,MATCH($A62&amp;"|"&amp;$B62&amp;"|2|"&amp;$C62,Log!$M:$M,0)),"")</x:f>
      </x:c>
      <x:c r="F62" s="14" t="str">
        <x:f aca="0">IFERROR(INDEX(Log!$J:$J,MATCH($A62&amp;"|"&amp;$B62&amp;"|3|"&amp;$C62,Log!$M:$M,0)),"")</x:f>
      </x:c>
      <x:c r="G62" s="14" t="n">
        <x:f aca="0">IF(COUNTIF(D62:F62,"Y")+COUNTIF(D62:F62,"partial")+COUNTIF(D62:F62,"N")=3,1,0)</x:f>
        <x:v>0</x:v>
      </x:c>
      <x:c r="H62" s="14" t="n">
        <x:f aca="0">IF(G62=1,IF(AND(D62=E62,E62=F62),1,0),0)</x:f>
        <x:v>0</x:v>
      </x:c>
    </x:row>
    <x:row r="63" ht="15" hidden="0" customHeight="1">
      <x:c r="A63" s="14" t="str">
        <x:f aca="0">Reference!$B$3</x:f>
        <x:v>RC</x:v>
      </x:c>
      <x:c r="B63" s="14" t="s">
        <x:v>8</x:v>
      </x:c>
      <x:c r="C63" s="15" t="s">
        <x:v>37</x:v>
      </x:c>
      <x:c r="D63" s="14" t="str">
        <x:f aca="0">IFERROR(INDEX(Log!$J:$J,MATCH($A63&amp;"|"&amp;$B63&amp;"|1|"&amp;$C63,Log!$M:$M,0)),"")</x:f>
      </x:c>
      <x:c r="E63" s="14" t="str">
        <x:f aca="0">IFERROR(INDEX(Log!$J:$J,MATCH($A63&amp;"|"&amp;$B63&amp;"|2|"&amp;$C63,Log!$M:$M,0)),"")</x:f>
      </x:c>
      <x:c r="F63" s="14" t="str">
        <x:f aca="0">IFERROR(INDEX(Log!$J:$J,MATCH($A63&amp;"|"&amp;$B63&amp;"|3|"&amp;$C63,Log!$M:$M,0)),"")</x:f>
      </x:c>
      <x:c r="G63" s="14" t="n">
        <x:f aca="0">IF(COUNTIF(D63:F63,"Y")+COUNTIF(D63:F63,"partial")+COUNTIF(D63:F63,"N")=3,1,0)</x:f>
        <x:v>0</x:v>
      </x:c>
      <x:c r="H63" s="14" t="n">
        <x:f aca="0">IF(G63=1,IF(AND(D63=E63,E63=F63),1,0),0)</x:f>
        <x:v>0</x:v>
      </x:c>
    </x:row>
    <x:row r="64" ht="15" hidden="0" customHeight="1">
      <x:c r="A64" s="14" t="str">
        <x:f aca="0">Reference!$B$3</x:f>
        <x:v>RC</x:v>
      </x:c>
      <x:c r="B64" s="14" t="s">
        <x:v>8</x:v>
      </x:c>
      <x:c r="C64" s="15" t="s">
        <x:v>39</x:v>
      </x:c>
      <x:c r="D64" s="14" t="str">
        <x:f aca="0">IFERROR(INDEX(Log!$J:$J,MATCH($A64&amp;"|"&amp;$B64&amp;"|1|"&amp;$C64,Log!$M:$M,0)),"")</x:f>
      </x:c>
      <x:c r="E64" s="14" t="str">
        <x:f aca="0">IFERROR(INDEX(Log!$J:$J,MATCH($A64&amp;"|"&amp;$B64&amp;"|2|"&amp;$C64,Log!$M:$M,0)),"")</x:f>
      </x:c>
      <x:c r="F64" s="14" t="str">
        <x:f aca="0">IFERROR(INDEX(Log!$J:$J,MATCH($A64&amp;"|"&amp;$B64&amp;"|3|"&amp;$C64,Log!$M:$M,0)),"")</x:f>
      </x:c>
      <x:c r="G64" s="14" t="n">
        <x:f aca="0">IF(COUNTIF(D64:F64,"Y")+COUNTIF(D64:F64,"partial")+COUNTIF(D64:F64,"N")=3,1,0)</x:f>
        <x:v>0</x:v>
      </x:c>
      <x:c r="H64" s="14" t="n">
        <x:f aca="0">IF(G64=1,IF(AND(D64=E64,E64=F64),1,0),0)</x:f>
        <x:v>0</x:v>
      </x:c>
    </x:row>
    <x:row r="65" ht="15" hidden="0" customHeight="1">
      <x:c r="A65" s="14" t="str">
        <x:f aca="0">Reference!$B$3</x:f>
        <x:v>RC</x:v>
      </x:c>
      <x:c r="B65" s="14" t="s">
        <x:v>8</x:v>
      </x:c>
      <x:c r="C65" s="15" t="s">
        <x:v>41</x:v>
      </x:c>
      <x:c r="D65" s="14" t="str">
        <x:f aca="0">IFERROR(INDEX(Log!$J:$J,MATCH($A65&amp;"|"&amp;$B65&amp;"|1|"&amp;$C65,Log!$M:$M,0)),"")</x:f>
      </x:c>
      <x:c r="E65" s="14" t="str">
        <x:f aca="0">IFERROR(INDEX(Log!$J:$J,MATCH($A65&amp;"|"&amp;$B65&amp;"|2|"&amp;$C65,Log!$M:$M,0)),"")</x:f>
      </x:c>
      <x:c r="F65" s="14" t="str">
        <x:f aca="0">IFERROR(INDEX(Log!$J:$J,MATCH($A65&amp;"|"&amp;$B65&amp;"|3|"&amp;$C65,Log!$M:$M,0)),"")</x:f>
      </x:c>
      <x:c r="G65" s="14" t="n">
        <x:f aca="0">IF(COUNTIF(D65:F65,"Y")+COUNTIF(D65:F65,"partial")+COUNTIF(D65:F65,"N")=3,1,0)</x:f>
        <x:v>0</x:v>
      </x:c>
      <x:c r="H65" s="14" t="n">
        <x:f aca="0">IF(G65=1,IF(AND(D65=E65,E65=F65),1,0),0)</x:f>
        <x:v>0</x:v>
      </x:c>
    </x:row>
    <x:row r="66" ht="15" hidden="0" customHeight="1">
      <x:c r="A66" s="14" t="str">
        <x:f aca="0">Reference!$B$3</x:f>
        <x:v>RC</x:v>
      </x:c>
      <x:c r="B66" s="14" t="s">
        <x:v>8</x:v>
      </x:c>
      <x:c r="C66" s="15" t="s">
        <x:v>43</x:v>
      </x:c>
      <x:c r="D66" s="14" t="str">
        <x:f aca="0">IFERROR(INDEX(Log!$J:$J,MATCH($A66&amp;"|"&amp;$B66&amp;"|1|"&amp;$C66,Log!$M:$M,0)),"")</x:f>
      </x:c>
      <x:c r="E66" s="14" t="str">
        <x:f aca="0">IFERROR(INDEX(Log!$J:$J,MATCH($A66&amp;"|"&amp;$B66&amp;"|2|"&amp;$C66,Log!$M:$M,0)),"")</x:f>
      </x:c>
      <x:c r="F66" s="14" t="str">
        <x:f aca="0">IFERROR(INDEX(Log!$J:$J,MATCH($A66&amp;"|"&amp;$B66&amp;"|3|"&amp;$C66,Log!$M:$M,0)),"")</x:f>
      </x:c>
      <x:c r="G66" s="14" t="n">
        <x:f aca="0">IF(COUNTIF(D66:F66,"Y")+COUNTIF(D66:F66,"partial")+COUNTIF(D66:F66,"N")=3,1,0)</x:f>
        <x:v>0</x:v>
      </x:c>
      <x:c r="H66" s="14" t="n">
        <x:f aca="0">IF(G66=1,IF(AND(D66=E66,E66=F66),1,0),0)</x:f>
        <x:v>0</x:v>
      </x:c>
    </x:row>
    <x:row r="67" ht="15" hidden="0" customHeight="1">
      <x:c r="A67" s="14" t="str">
        <x:f aca="0">Reference!$B$3</x:f>
        <x:v>RC</x:v>
      </x:c>
      <x:c r="B67" s="14" t="s">
        <x:v>8</x:v>
      </x:c>
      <x:c r="C67" s="15" t="s">
        <x:v>45</x:v>
      </x:c>
      <x:c r="D67" s="14" t="str">
        <x:f aca="0">IFERROR(INDEX(Log!$J:$J,MATCH($A67&amp;"|"&amp;$B67&amp;"|1|"&amp;$C67,Log!$M:$M,0)),"")</x:f>
      </x:c>
      <x:c r="E67" s="14" t="str">
        <x:f aca="0">IFERROR(INDEX(Log!$J:$J,MATCH($A67&amp;"|"&amp;$B67&amp;"|2|"&amp;$C67,Log!$M:$M,0)),"")</x:f>
      </x:c>
      <x:c r="F67" s="14" t="str">
        <x:f aca="0">IFERROR(INDEX(Log!$J:$J,MATCH($A67&amp;"|"&amp;$B67&amp;"|3|"&amp;$C67,Log!$M:$M,0)),"")</x:f>
      </x:c>
      <x:c r="G67" s="14" t="n">
        <x:f aca="0">IF(COUNTIF(D67:F67,"Y")+COUNTIF(D67:F67,"partial")+COUNTIF(D67:F67,"N")=3,1,0)</x:f>
        <x:v>0</x:v>
      </x:c>
      <x:c r="H67" s="14" t="n">
        <x:f aca="0">IF(G67=1,IF(AND(D67=E67,E67=F67),1,0),0)</x:f>
        <x:v>0</x:v>
      </x:c>
    </x:row>
    <x:row r="68" ht="15" hidden="0" customHeight="1">
      <x:c r="A68" s="14" t="str">
        <x:f aca="0">Reference!$B$3</x:f>
        <x:v>RC</x:v>
      </x:c>
      <x:c r="B68" s="14" t="s">
        <x:v>8</x:v>
      </x:c>
      <x:c r="C68" s="15" t="s">
        <x:v>47</x:v>
      </x:c>
      <x:c r="D68" s="14" t="str">
        <x:f aca="0">IFERROR(INDEX(Log!$J:$J,MATCH($A68&amp;"|"&amp;$B68&amp;"|1|"&amp;$C68,Log!$M:$M,0)),"")</x:f>
      </x:c>
      <x:c r="E68" s="14" t="str">
        <x:f aca="0">IFERROR(INDEX(Log!$J:$J,MATCH($A68&amp;"|"&amp;$B68&amp;"|2|"&amp;$C68,Log!$M:$M,0)),"")</x:f>
      </x:c>
      <x:c r="F68" s="14" t="str">
        <x:f aca="0">IFERROR(INDEX(Log!$J:$J,MATCH($A68&amp;"|"&amp;$B68&amp;"|3|"&amp;$C68,Log!$M:$M,0)),"")</x:f>
      </x:c>
      <x:c r="G68" s="14" t="n">
        <x:f aca="0">IF(COUNTIF(D68:F68,"Y")+COUNTIF(D68:F68,"partial")+COUNTIF(D68:F68,"N")=3,1,0)</x:f>
        <x:v>0</x:v>
      </x:c>
      <x:c r="H68" s="14" t="n">
        <x:f aca="0">IF(G68=1,IF(AND(D68=E68,E68=F68),1,0),0)</x:f>
        <x:v>0</x:v>
      </x:c>
    </x:row>
    <x:row r="69" ht="15" hidden="0" customHeight="1">
      <x:c r="A69" s="14" t="str">
        <x:f aca="0">Reference!$B$3</x:f>
        <x:v>RC</x:v>
      </x:c>
      <x:c r="B69" s="14" t="s">
        <x:v>8</x:v>
      </x:c>
      <x:c r="C69" s="15" t="s">
        <x:v>49</x:v>
      </x:c>
      <x:c r="D69" s="14" t="str">
        <x:f aca="0">IFERROR(INDEX(Log!$J:$J,MATCH($A69&amp;"|"&amp;$B69&amp;"|1|"&amp;$C69,Log!$M:$M,0)),"")</x:f>
      </x:c>
      <x:c r="E69" s="14" t="str">
        <x:f aca="0">IFERROR(INDEX(Log!$J:$J,MATCH($A69&amp;"|"&amp;$B69&amp;"|2|"&amp;$C69,Log!$M:$M,0)),"")</x:f>
      </x:c>
      <x:c r="F69" s="14" t="str">
        <x:f aca="0">IFERROR(INDEX(Log!$J:$J,MATCH($A69&amp;"|"&amp;$B69&amp;"|3|"&amp;$C69,Log!$M:$M,0)),"")</x:f>
      </x:c>
      <x:c r="G69" s="14" t="n">
        <x:f aca="0">IF(COUNTIF(D69:F69,"Y")+COUNTIF(D69:F69,"partial")+COUNTIF(D69:F69,"N")=3,1,0)</x:f>
        <x:v>0</x:v>
      </x:c>
      <x:c r="H69" s="14" t="n">
        <x:f aca="0">IF(G69=1,IF(AND(D69=E69,E69=F69),1,0),0)</x:f>
        <x:v>0</x:v>
      </x:c>
    </x:row>
    <x:row r="70" ht="15" hidden="0" customHeight="1">
      <x:c r="A70" s="14" t="str">
        <x:f aca="0">Reference!$B$3</x:f>
        <x:v>RC</x:v>
      </x:c>
      <x:c r="B70" s="14" t="s">
        <x:v>8</x:v>
      </x:c>
      <x:c r="C70" s="15" t="s">
        <x:v>51</x:v>
      </x:c>
      <x:c r="D70" s="14" t="str">
        <x:f aca="0">IFERROR(INDEX(Log!$J:$J,MATCH($A70&amp;"|"&amp;$B70&amp;"|1|"&amp;$C70,Log!$M:$M,0)),"")</x:f>
      </x:c>
      <x:c r="E70" s="14" t="str">
        <x:f aca="0">IFERROR(INDEX(Log!$J:$J,MATCH($A70&amp;"|"&amp;$B70&amp;"|2|"&amp;$C70,Log!$M:$M,0)),"")</x:f>
      </x:c>
      <x:c r="F70" s="14" t="str">
        <x:f aca="0">IFERROR(INDEX(Log!$J:$J,MATCH($A70&amp;"|"&amp;$B70&amp;"|3|"&amp;$C70,Log!$M:$M,0)),"")</x:f>
      </x:c>
      <x:c r="G70" s="14" t="n">
        <x:f aca="0">IF(COUNTIF(D70:F70,"Y")+COUNTIF(D70:F70,"partial")+COUNTIF(D70:F70,"N")=3,1,0)</x:f>
        <x:v>0</x:v>
      </x:c>
      <x:c r="H70" s="14" t="n">
        <x:f aca="0">IF(G70=1,IF(AND(D70=E70,E70=F70),1,0),0)</x:f>
        <x:v>0</x:v>
      </x:c>
    </x:row>
    <x:row r="71" ht="15" hidden="0" customHeight="1">
      <x:c r="A71" s="14" t="str">
        <x:f aca="0">Reference!$B$3</x:f>
        <x:v>RC</x:v>
      </x:c>
      <x:c r="B71" s="14" t="s">
        <x:v>8</x:v>
      </x:c>
      <x:c r="C71" s="15" t="s">
        <x:v>53</x:v>
      </x:c>
      <x:c r="D71" s="14" t="str">
        <x:f aca="0">IFERROR(INDEX(Log!$J:$J,MATCH($A71&amp;"|"&amp;$B71&amp;"|1|"&amp;$C71,Log!$M:$M,0)),"")</x:f>
      </x:c>
      <x:c r="E71" s="14" t="str">
        <x:f aca="0">IFERROR(INDEX(Log!$J:$J,MATCH($A71&amp;"|"&amp;$B71&amp;"|2|"&amp;$C71,Log!$M:$M,0)),"")</x:f>
      </x:c>
      <x:c r="F71" s="14" t="str">
        <x:f aca="0">IFERROR(INDEX(Log!$J:$J,MATCH($A71&amp;"|"&amp;$B71&amp;"|3|"&amp;$C71,Log!$M:$M,0)),"")</x:f>
      </x:c>
      <x:c r="G71" s="14" t="n">
        <x:f aca="0">IF(COUNTIF(D71:F71,"Y")+COUNTIF(D71:F71,"partial")+COUNTIF(D71:F71,"N")=3,1,0)</x:f>
        <x:v>0</x:v>
      </x:c>
      <x:c r="H71" s="14" t="n">
        <x:f aca="0">IF(G71=1,IF(AND(D71=E71,E71=F71),1,0),0)</x:f>
        <x:v>0</x:v>
      </x:c>
    </x:row>
    <x:row r="72" ht="15" hidden="0" customHeight="1">
      <x:c r="A72" s="14" t="str">
        <x:f aca="0">Reference!$B$3</x:f>
        <x:v>RC</x:v>
      </x:c>
      <x:c r="B72" s="14" t="s">
        <x:v>10</x:v>
      </x:c>
      <x:c r="C72" s="15" t="s">
        <x:v>35</x:v>
      </x:c>
      <x:c r="D72" s="14" t="str">
        <x:f aca="0">IFERROR(INDEX(Log!$J:$J,MATCH($A72&amp;"|"&amp;$B72&amp;"|1|"&amp;$C72,Log!$M:$M,0)),"")</x:f>
      </x:c>
      <x:c r="E72" s="14" t="str">
        <x:f aca="0">IFERROR(INDEX(Log!$J:$J,MATCH($A72&amp;"|"&amp;$B72&amp;"|2|"&amp;$C72,Log!$M:$M,0)),"")</x:f>
      </x:c>
      <x:c r="F72" s="14" t="str">
        <x:f aca="0">IFERROR(INDEX(Log!$J:$J,MATCH($A72&amp;"|"&amp;$B72&amp;"|3|"&amp;$C72,Log!$M:$M,0)),"")</x:f>
      </x:c>
      <x:c r="G72" s="14" t="n">
        <x:f aca="0">IF(COUNTIF(D72:F72,"Y")+COUNTIF(D72:F72,"partial")+COUNTIF(D72:F72,"N")=3,1,0)</x:f>
        <x:v>0</x:v>
      </x:c>
      <x:c r="H72" s="14" t="n">
        <x:f aca="0">IF(G72=1,IF(AND(D72=E72,E72=F72),1,0),0)</x:f>
        <x:v>0</x:v>
      </x:c>
    </x:row>
    <x:row r="73" ht="15" hidden="0" customHeight="1">
      <x:c r="A73" s="14" t="str">
        <x:f aca="0">Reference!$B$3</x:f>
        <x:v>RC</x:v>
      </x:c>
      <x:c r="B73" s="14" t="s">
        <x:v>10</x:v>
      </x:c>
      <x:c r="C73" s="15" t="s">
        <x:v>37</x:v>
      </x:c>
      <x:c r="D73" s="14" t="str">
        <x:f aca="0">IFERROR(INDEX(Log!$J:$J,MATCH($A73&amp;"|"&amp;$B73&amp;"|1|"&amp;$C73,Log!$M:$M,0)),"")</x:f>
      </x:c>
      <x:c r="E73" s="14" t="str">
        <x:f aca="0">IFERROR(INDEX(Log!$J:$J,MATCH($A73&amp;"|"&amp;$B73&amp;"|2|"&amp;$C73,Log!$M:$M,0)),"")</x:f>
      </x:c>
      <x:c r="F73" s="14" t="str">
        <x:f aca="0">IFERROR(INDEX(Log!$J:$J,MATCH($A73&amp;"|"&amp;$B73&amp;"|3|"&amp;$C73,Log!$M:$M,0)),"")</x:f>
      </x:c>
      <x:c r="G73" s="14" t="n">
        <x:f aca="0">IF(COUNTIF(D73:F73,"Y")+COUNTIF(D73:F73,"partial")+COUNTIF(D73:F73,"N")=3,1,0)</x:f>
        <x:v>0</x:v>
      </x:c>
      <x:c r="H73" s="14" t="n">
        <x:f aca="0">IF(G73=1,IF(AND(D73=E73,E73=F73),1,0),0)</x:f>
        <x:v>0</x:v>
      </x:c>
    </x:row>
    <x:row r="74" ht="15" hidden="0" customHeight="1">
      <x:c r="A74" s="14" t="str">
        <x:f aca="0">Reference!$B$3</x:f>
        <x:v>RC</x:v>
      </x:c>
      <x:c r="B74" s="14" t="s">
        <x:v>10</x:v>
      </x:c>
      <x:c r="C74" s="15" t="s">
        <x:v>39</x:v>
      </x:c>
      <x:c r="D74" s="14" t="str">
        <x:f aca="0">IFERROR(INDEX(Log!$J:$J,MATCH($A74&amp;"|"&amp;$B74&amp;"|1|"&amp;$C74,Log!$M:$M,0)),"")</x:f>
      </x:c>
      <x:c r="E74" s="14" t="str">
        <x:f aca="0">IFERROR(INDEX(Log!$J:$J,MATCH($A74&amp;"|"&amp;$B74&amp;"|2|"&amp;$C74,Log!$M:$M,0)),"")</x:f>
      </x:c>
      <x:c r="F74" s="14" t="str">
        <x:f aca="0">IFERROR(INDEX(Log!$J:$J,MATCH($A74&amp;"|"&amp;$B74&amp;"|3|"&amp;$C74,Log!$M:$M,0)),"")</x:f>
      </x:c>
      <x:c r="G74" s="14" t="n">
        <x:f aca="0">IF(COUNTIF(D74:F74,"Y")+COUNTIF(D74:F74,"partial")+COUNTIF(D74:F74,"N")=3,1,0)</x:f>
        <x:v>0</x:v>
      </x:c>
      <x:c r="H74" s="14" t="n">
        <x:f aca="0">IF(G74=1,IF(AND(D74=E74,E74=F74),1,0),0)</x:f>
        <x:v>0</x:v>
      </x:c>
    </x:row>
    <x:row r="75" ht="15" hidden="0" customHeight="1">
      <x:c r="A75" s="14" t="str">
        <x:f aca="0">Reference!$B$3</x:f>
        <x:v>RC</x:v>
      </x:c>
      <x:c r="B75" s="14" t="s">
        <x:v>10</x:v>
      </x:c>
      <x:c r="C75" s="15" t="s">
        <x:v>41</x:v>
      </x:c>
      <x:c r="D75" s="14" t="str">
        <x:f aca="0">IFERROR(INDEX(Log!$J:$J,MATCH($A75&amp;"|"&amp;$B75&amp;"|1|"&amp;$C75,Log!$M:$M,0)),"")</x:f>
      </x:c>
      <x:c r="E75" s="14" t="str">
        <x:f aca="0">IFERROR(INDEX(Log!$J:$J,MATCH($A75&amp;"|"&amp;$B75&amp;"|2|"&amp;$C75,Log!$M:$M,0)),"")</x:f>
      </x:c>
      <x:c r="F75" s="14" t="str">
        <x:f aca="0">IFERROR(INDEX(Log!$J:$J,MATCH($A75&amp;"|"&amp;$B75&amp;"|3|"&amp;$C75,Log!$M:$M,0)),"")</x:f>
      </x:c>
      <x:c r="G75" s="14" t="n">
        <x:f aca="0">IF(COUNTIF(D75:F75,"Y")+COUNTIF(D75:F75,"partial")+COUNTIF(D75:F75,"N")=3,1,0)</x:f>
        <x:v>0</x:v>
      </x:c>
      <x:c r="H75" s="14" t="n">
        <x:f aca="0">IF(G75=1,IF(AND(D75=E75,E75=F75),1,0),0)</x:f>
        <x:v>0</x:v>
      </x:c>
    </x:row>
    <x:row r="76" ht="15" hidden="0" customHeight="1">
      <x:c r="A76" s="14" t="str">
        <x:f aca="0">Reference!$B$3</x:f>
        <x:v>RC</x:v>
      </x:c>
      <x:c r="B76" s="14" t="s">
        <x:v>10</x:v>
      </x:c>
      <x:c r="C76" s="15" t="s">
        <x:v>43</x:v>
      </x:c>
      <x:c r="D76" s="14" t="str">
        <x:f aca="0">IFERROR(INDEX(Log!$J:$J,MATCH($A76&amp;"|"&amp;$B76&amp;"|1|"&amp;$C76,Log!$M:$M,0)),"")</x:f>
      </x:c>
      <x:c r="E76" s="14" t="str">
        <x:f aca="0">IFERROR(INDEX(Log!$J:$J,MATCH($A76&amp;"|"&amp;$B76&amp;"|2|"&amp;$C76,Log!$M:$M,0)),"")</x:f>
      </x:c>
      <x:c r="F76" s="14" t="str">
        <x:f aca="0">IFERROR(INDEX(Log!$J:$J,MATCH($A76&amp;"|"&amp;$B76&amp;"|3|"&amp;$C76,Log!$M:$M,0)),"")</x:f>
      </x:c>
      <x:c r="G76" s="14" t="n">
        <x:f aca="0">IF(COUNTIF(D76:F76,"Y")+COUNTIF(D76:F76,"partial")+COUNTIF(D76:F76,"N")=3,1,0)</x:f>
        <x:v>0</x:v>
      </x:c>
      <x:c r="H76" s="14" t="n">
        <x:f aca="0">IF(G76=1,IF(AND(D76=E76,E76=F76),1,0),0)</x:f>
        <x:v>0</x:v>
      </x:c>
    </x:row>
    <x:row r="77" ht="15" hidden="0" customHeight="1">
      <x:c r="A77" s="14" t="str">
        <x:f aca="0">Reference!$B$3</x:f>
        <x:v>RC</x:v>
      </x:c>
      <x:c r="B77" s="14" t="s">
        <x:v>10</x:v>
      </x:c>
      <x:c r="C77" s="15" t="s">
        <x:v>45</x:v>
      </x:c>
      <x:c r="D77" s="14" t="str">
        <x:f aca="0">IFERROR(INDEX(Log!$J:$J,MATCH($A77&amp;"|"&amp;$B77&amp;"|1|"&amp;$C77,Log!$M:$M,0)),"")</x:f>
      </x:c>
      <x:c r="E77" s="14" t="str">
        <x:f aca="0">IFERROR(INDEX(Log!$J:$J,MATCH($A77&amp;"|"&amp;$B77&amp;"|2|"&amp;$C77,Log!$M:$M,0)),"")</x:f>
      </x:c>
      <x:c r="F77" s="14" t="str">
        <x:f aca="0">IFERROR(INDEX(Log!$J:$J,MATCH($A77&amp;"|"&amp;$B77&amp;"|3|"&amp;$C77,Log!$M:$M,0)),"")</x:f>
      </x:c>
      <x:c r="G77" s="14" t="n">
        <x:f aca="0">IF(COUNTIF(D77:F77,"Y")+COUNTIF(D77:F77,"partial")+COUNTIF(D77:F77,"N")=3,1,0)</x:f>
        <x:v>0</x:v>
      </x:c>
      <x:c r="H77" s="14" t="n">
        <x:f aca="0">IF(G77=1,IF(AND(D77=E77,E77=F77),1,0),0)</x:f>
        <x:v>0</x:v>
      </x:c>
    </x:row>
    <x:row r="78" ht="15" hidden="0" customHeight="1">
      <x:c r="A78" s="14" t="str">
        <x:f aca="0">Reference!$B$3</x:f>
        <x:v>RC</x:v>
      </x:c>
      <x:c r="B78" s="14" t="s">
        <x:v>10</x:v>
      </x:c>
      <x:c r="C78" s="15" t="s">
        <x:v>47</x:v>
      </x:c>
      <x:c r="D78" s="14" t="str">
        <x:f aca="0">IFERROR(INDEX(Log!$J:$J,MATCH($A78&amp;"|"&amp;$B78&amp;"|1|"&amp;$C78,Log!$M:$M,0)),"")</x:f>
      </x:c>
      <x:c r="E78" s="14" t="str">
        <x:f aca="0">IFERROR(INDEX(Log!$J:$J,MATCH($A78&amp;"|"&amp;$B78&amp;"|2|"&amp;$C78,Log!$M:$M,0)),"")</x:f>
      </x:c>
      <x:c r="F78" s="14" t="str">
        <x:f aca="0">IFERROR(INDEX(Log!$J:$J,MATCH($A78&amp;"|"&amp;$B78&amp;"|3|"&amp;$C78,Log!$M:$M,0)),"")</x:f>
      </x:c>
      <x:c r="G78" s="14" t="n">
        <x:f aca="0">IF(COUNTIF(D78:F78,"Y")+COUNTIF(D78:F78,"partial")+COUNTIF(D78:F78,"N")=3,1,0)</x:f>
        <x:v>0</x:v>
      </x:c>
      <x:c r="H78" s="14" t="n">
        <x:f aca="0">IF(G78=1,IF(AND(D78=E78,E78=F78),1,0),0)</x:f>
        <x:v>0</x:v>
      </x:c>
    </x:row>
    <x:row r="79" ht="15" hidden="0" customHeight="1">
      <x:c r="A79" s="14" t="str">
        <x:f aca="0">Reference!$B$3</x:f>
        <x:v>RC</x:v>
      </x:c>
      <x:c r="B79" s="14" t="s">
        <x:v>10</x:v>
      </x:c>
      <x:c r="C79" s="15" t="s">
        <x:v>49</x:v>
      </x:c>
      <x:c r="D79" s="14" t="str">
        <x:f aca="0">IFERROR(INDEX(Log!$J:$J,MATCH($A79&amp;"|"&amp;$B79&amp;"|1|"&amp;$C79,Log!$M:$M,0)),"")</x:f>
      </x:c>
      <x:c r="E79" s="14" t="str">
        <x:f aca="0">IFERROR(INDEX(Log!$J:$J,MATCH($A79&amp;"|"&amp;$B79&amp;"|2|"&amp;$C79,Log!$M:$M,0)),"")</x:f>
      </x:c>
      <x:c r="F79" s="14" t="str">
        <x:f aca="0">IFERROR(INDEX(Log!$J:$J,MATCH($A79&amp;"|"&amp;$B79&amp;"|3|"&amp;$C79,Log!$M:$M,0)),"")</x:f>
      </x:c>
      <x:c r="G79" s="14" t="n">
        <x:f aca="0">IF(COUNTIF(D79:F79,"Y")+COUNTIF(D79:F79,"partial")+COUNTIF(D79:F79,"N")=3,1,0)</x:f>
        <x:v>0</x:v>
      </x:c>
      <x:c r="H79" s="14" t="n">
        <x:f aca="0">IF(G79=1,IF(AND(D79=E79,E79=F79),1,0),0)</x:f>
        <x:v>0</x:v>
      </x:c>
    </x:row>
    <x:row r="80" ht="15" hidden="0" customHeight="1">
      <x:c r="A80" s="14" t="str">
        <x:f aca="0">Reference!$B$3</x:f>
        <x:v>RC</x:v>
      </x:c>
      <x:c r="B80" s="14" t="s">
        <x:v>10</x:v>
      </x:c>
      <x:c r="C80" s="15" t="s">
        <x:v>51</x:v>
      </x:c>
      <x:c r="D80" s="14" t="str">
        <x:f aca="0">IFERROR(INDEX(Log!$J:$J,MATCH($A80&amp;"|"&amp;$B80&amp;"|1|"&amp;$C80,Log!$M:$M,0)),"")</x:f>
      </x:c>
      <x:c r="E80" s="14" t="str">
        <x:f aca="0">IFERROR(INDEX(Log!$J:$J,MATCH($A80&amp;"|"&amp;$B80&amp;"|2|"&amp;$C80,Log!$M:$M,0)),"")</x:f>
      </x:c>
      <x:c r="F80" s="14" t="str">
        <x:f aca="0">IFERROR(INDEX(Log!$J:$J,MATCH($A80&amp;"|"&amp;$B80&amp;"|3|"&amp;$C80,Log!$M:$M,0)),"")</x:f>
      </x:c>
      <x:c r="G80" s="14" t="n">
        <x:f aca="0">IF(COUNTIF(D80:F80,"Y")+COUNTIF(D80:F80,"partial")+COUNTIF(D80:F80,"N")=3,1,0)</x:f>
        <x:v>0</x:v>
      </x:c>
      <x:c r="H80" s="14" t="n">
        <x:f aca="0">IF(G80=1,IF(AND(D80=E80,E80=F80),1,0),0)</x:f>
        <x:v>0</x:v>
      </x:c>
    </x:row>
    <x:row r="81" ht="15" hidden="0" customHeight="1">
      <x:c r="A81" s="14" t="str">
        <x:f aca="0">Reference!$B$3</x:f>
        <x:v>RC</x:v>
      </x:c>
      <x:c r="B81" s="14" t="s">
        <x:v>10</x:v>
      </x:c>
      <x:c r="C81" s="15" t="s">
        <x:v>53</x:v>
      </x:c>
      <x:c r="D81" s="14" t="str">
        <x:f aca="0">IFERROR(INDEX(Log!$J:$J,MATCH($A81&amp;"|"&amp;$B81&amp;"|1|"&amp;$C81,Log!$M:$M,0)),"")</x:f>
      </x:c>
      <x:c r="E81" s="14" t="str">
        <x:f aca="0">IFERROR(INDEX(Log!$J:$J,MATCH($A81&amp;"|"&amp;$B81&amp;"|2|"&amp;$C81,Log!$M:$M,0)),"")</x:f>
      </x:c>
      <x:c r="F81" s="14" t="str">
        <x:f aca="0">IFERROR(INDEX(Log!$J:$J,MATCH($A81&amp;"|"&amp;$B81&amp;"|3|"&amp;$C81,Log!$M:$M,0)),"")</x:f>
      </x:c>
      <x:c r="G81" s="14" t="n">
        <x:f aca="0">IF(COUNTIF(D81:F81,"Y")+COUNTIF(D81:F81,"partial")+COUNTIF(D81:F81,"N")=3,1,0)</x:f>
        <x:v>0</x:v>
      </x:c>
      <x:c r="H81" s="14" t="n">
        <x:f aca="0">IF(G81=1,IF(AND(D81=E81,E81=F81),1,0),0)</x:f>
        <x:v>0</x:v>
      </x:c>
    </x:row>
    <x:row r="82" ht="15" hidden="0" customHeight="1">
      <x:c r="A82" s="14" t="str">
        <x:f aca="0">Reference!$B$3</x:f>
        <x:v>RC</x:v>
      </x:c>
      <x:c r="B82" s="14" t="s">
        <x:v>12</x:v>
      </x:c>
      <x:c r="C82" s="15" t="s">
        <x:v>35</x:v>
      </x:c>
      <x:c r="D82" s="14" t="str">
        <x:f aca="0">IFERROR(INDEX(Log!$J:$J,MATCH($A82&amp;"|"&amp;$B82&amp;"|1|"&amp;$C82,Log!$M:$M,0)),"")</x:f>
      </x:c>
      <x:c r="E82" s="14" t="str">
        <x:f aca="0">IFERROR(INDEX(Log!$J:$J,MATCH($A82&amp;"|"&amp;$B82&amp;"|2|"&amp;$C82,Log!$M:$M,0)),"")</x:f>
      </x:c>
      <x:c r="F82" s="14" t="str">
        <x:f aca="0">IFERROR(INDEX(Log!$J:$J,MATCH($A82&amp;"|"&amp;$B82&amp;"|3|"&amp;$C82,Log!$M:$M,0)),"")</x:f>
      </x:c>
      <x:c r="G82" s="14" t="n">
        <x:f aca="0">IF(COUNTIF(D82:F82,"Y")+COUNTIF(D82:F82,"partial")+COUNTIF(D82:F82,"N")=3,1,0)</x:f>
        <x:v>0</x:v>
      </x:c>
      <x:c r="H82" s="14" t="n">
        <x:f aca="0">IF(G82=1,IF(AND(D82=E82,E82=F82),1,0),0)</x:f>
        <x:v>0</x:v>
      </x:c>
    </x:row>
    <x:row r="83" ht="15" hidden="0" customHeight="1">
      <x:c r="A83" s="14" t="str">
        <x:f aca="0">Reference!$B$3</x:f>
        <x:v>RC</x:v>
      </x:c>
      <x:c r="B83" s="14" t="s">
        <x:v>12</x:v>
      </x:c>
      <x:c r="C83" s="15" t="s">
        <x:v>37</x:v>
      </x:c>
      <x:c r="D83" s="14" t="str">
        <x:f aca="0">IFERROR(INDEX(Log!$J:$J,MATCH($A83&amp;"|"&amp;$B83&amp;"|1|"&amp;$C83,Log!$M:$M,0)),"")</x:f>
      </x:c>
      <x:c r="E83" s="14" t="str">
        <x:f aca="0">IFERROR(INDEX(Log!$J:$J,MATCH($A83&amp;"|"&amp;$B83&amp;"|2|"&amp;$C83,Log!$M:$M,0)),"")</x:f>
      </x:c>
      <x:c r="F83" s="14" t="str">
        <x:f aca="0">IFERROR(INDEX(Log!$J:$J,MATCH($A83&amp;"|"&amp;$B83&amp;"|3|"&amp;$C83,Log!$M:$M,0)),"")</x:f>
      </x:c>
      <x:c r="G83" s="14" t="n">
        <x:f aca="0">IF(COUNTIF(D83:F83,"Y")+COUNTIF(D83:F83,"partial")+COUNTIF(D83:F83,"N")=3,1,0)</x:f>
        <x:v>0</x:v>
      </x:c>
      <x:c r="H83" s="14" t="n">
        <x:f aca="0">IF(G83=1,IF(AND(D83=E83,E83=F83),1,0),0)</x:f>
        <x:v>0</x:v>
      </x:c>
    </x:row>
    <x:row r="84" ht="15" hidden="0" customHeight="1">
      <x:c r="A84" s="14" t="str">
        <x:f aca="0">Reference!$B$3</x:f>
        <x:v>RC</x:v>
      </x:c>
      <x:c r="B84" s="14" t="s">
        <x:v>12</x:v>
      </x:c>
      <x:c r="C84" s="15" t="s">
        <x:v>39</x:v>
      </x:c>
      <x:c r="D84" s="14" t="str">
        <x:f aca="0">IFERROR(INDEX(Log!$J:$J,MATCH($A84&amp;"|"&amp;$B84&amp;"|1|"&amp;$C84,Log!$M:$M,0)),"")</x:f>
      </x:c>
      <x:c r="E84" s="14" t="str">
        <x:f aca="0">IFERROR(INDEX(Log!$J:$J,MATCH($A84&amp;"|"&amp;$B84&amp;"|2|"&amp;$C84,Log!$M:$M,0)),"")</x:f>
      </x:c>
      <x:c r="F84" s="14" t="str">
        <x:f aca="0">IFERROR(INDEX(Log!$J:$J,MATCH($A84&amp;"|"&amp;$B84&amp;"|3|"&amp;$C84,Log!$M:$M,0)),"")</x:f>
      </x:c>
      <x:c r="G84" s="14" t="n">
        <x:f aca="0">IF(COUNTIF(D84:F84,"Y")+COUNTIF(D84:F84,"partial")+COUNTIF(D84:F84,"N")=3,1,0)</x:f>
        <x:v>0</x:v>
      </x:c>
      <x:c r="H84" s="14" t="n">
        <x:f aca="0">IF(G84=1,IF(AND(D84=E84,E84=F84),1,0),0)</x:f>
        <x:v>0</x:v>
      </x:c>
    </x:row>
    <x:row r="85" ht="15" hidden="0" customHeight="1">
      <x:c r="A85" s="14" t="str">
        <x:f aca="0">Reference!$B$3</x:f>
        <x:v>RC</x:v>
      </x:c>
      <x:c r="B85" s="14" t="s">
        <x:v>12</x:v>
      </x:c>
      <x:c r="C85" s="15" t="s">
        <x:v>41</x:v>
      </x:c>
      <x:c r="D85" s="14" t="str">
        <x:f aca="0">IFERROR(INDEX(Log!$J:$J,MATCH($A85&amp;"|"&amp;$B85&amp;"|1|"&amp;$C85,Log!$M:$M,0)),"")</x:f>
      </x:c>
      <x:c r="E85" s="14" t="str">
        <x:f aca="0">IFERROR(INDEX(Log!$J:$J,MATCH($A85&amp;"|"&amp;$B85&amp;"|2|"&amp;$C85,Log!$M:$M,0)),"")</x:f>
      </x:c>
      <x:c r="F85" s="14" t="str">
        <x:f aca="0">IFERROR(INDEX(Log!$J:$J,MATCH($A85&amp;"|"&amp;$B85&amp;"|3|"&amp;$C85,Log!$M:$M,0)),"")</x:f>
      </x:c>
      <x:c r="G85" s="14" t="n">
        <x:f aca="0">IF(COUNTIF(D85:F85,"Y")+COUNTIF(D85:F85,"partial")+COUNTIF(D85:F85,"N")=3,1,0)</x:f>
        <x:v>0</x:v>
      </x:c>
      <x:c r="H85" s="14" t="n">
        <x:f aca="0">IF(G85=1,IF(AND(D85=E85,E85=F85),1,0),0)</x:f>
        <x:v>0</x:v>
      </x:c>
    </x:row>
    <x:row r="86" ht="15" hidden="0" customHeight="1">
      <x:c r="A86" s="14" t="str">
        <x:f aca="0">Reference!$B$3</x:f>
        <x:v>RC</x:v>
      </x:c>
      <x:c r="B86" s="14" t="s">
        <x:v>12</x:v>
      </x:c>
      <x:c r="C86" s="15" t="s">
        <x:v>43</x:v>
      </x:c>
      <x:c r="D86" s="14" t="str">
        <x:f aca="0">IFERROR(INDEX(Log!$J:$J,MATCH($A86&amp;"|"&amp;$B86&amp;"|1|"&amp;$C86,Log!$M:$M,0)),"")</x:f>
      </x:c>
      <x:c r="E86" s="14" t="str">
        <x:f aca="0">IFERROR(INDEX(Log!$J:$J,MATCH($A86&amp;"|"&amp;$B86&amp;"|2|"&amp;$C86,Log!$M:$M,0)),"")</x:f>
      </x:c>
      <x:c r="F86" s="14" t="str">
        <x:f aca="0">IFERROR(INDEX(Log!$J:$J,MATCH($A86&amp;"|"&amp;$B86&amp;"|3|"&amp;$C86,Log!$M:$M,0)),"")</x:f>
      </x:c>
      <x:c r="G86" s="14" t="n">
        <x:f aca="0">IF(COUNTIF(D86:F86,"Y")+COUNTIF(D86:F86,"partial")+COUNTIF(D86:F86,"N")=3,1,0)</x:f>
        <x:v>0</x:v>
      </x:c>
      <x:c r="H86" s="14" t="n">
        <x:f aca="0">IF(G86=1,IF(AND(D86=E86,E86=F86),1,0),0)</x:f>
        <x:v>0</x:v>
      </x:c>
    </x:row>
    <x:row r="87" ht="15" hidden="0" customHeight="1">
      <x:c r="A87" s="14" t="str">
        <x:f aca="0">Reference!$B$3</x:f>
        <x:v>RC</x:v>
      </x:c>
      <x:c r="B87" s="14" t="s">
        <x:v>12</x:v>
      </x:c>
      <x:c r="C87" s="15" t="s">
        <x:v>45</x:v>
      </x:c>
      <x:c r="D87" s="14" t="str">
        <x:f aca="0">IFERROR(INDEX(Log!$J:$J,MATCH($A87&amp;"|"&amp;$B87&amp;"|1|"&amp;$C87,Log!$M:$M,0)),"")</x:f>
      </x:c>
      <x:c r="E87" s="14" t="str">
        <x:f aca="0">IFERROR(INDEX(Log!$J:$J,MATCH($A87&amp;"|"&amp;$B87&amp;"|2|"&amp;$C87,Log!$M:$M,0)),"")</x:f>
      </x:c>
      <x:c r="F87" s="14" t="str">
        <x:f aca="0">IFERROR(INDEX(Log!$J:$J,MATCH($A87&amp;"|"&amp;$B87&amp;"|3|"&amp;$C87,Log!$M:$M,0)),"")</x:f>
      </x:c>
      <x:c r="G87" s="14" t="n">
        <x:f aca="0">IF(COUNTIF(D87:F87,"Y")+COUNTIF(D87:F87,"partial")+COUNTIF(D87:F87,"N")=3,1,0)</x:f>
        <x:v>0</x:v>
      </x:c>
      <x:c r="H87" s="14" t="n">
        <x:f aca="0">IF(G87=1,IF(AND(D87=E87,E87=F87),1,0),0)</x:f>
        <x:v>0</x:v>
      </x:c>
    </x:row>
    <x:row r="88" ht="15" hidden="0" customHeight="1">
      <x:c r="A88" s="14" t="str">
        <x:f aca="0">Reference!$B$3</x:f>
        <x:v>RC</x:v>
      </x:c>
      <x:c r="B88" s="14" t="s">
        <x:v>12</x:v>
      </x:c>
      <x:c r="C88" s="15" t="s">
        <x:v>47</x:v>
      </x:c>
      <x:c r="D88" s="14" t="str">
        <x:f aca="0">IFERROR(INDEX(Log!$J:$J,MATCH($A88&amp;"|"&amp;$B88&amp;"|1|"&amp;$C88,Log!$M:$M,0)),"")</x:f>
      </x:c>
      <x:c r="E88" s="14" t="str">
        <x:f aca="0">IFERROR(INDEX(Log!$J:$J,MATCH($A88&amp;"|"&amp;$B88&amp;"|2|"&amp;$C88,Log!$M:$M,0)),"")</x:f>
      </x:c>
      <x:c r="F88" s="14" t="str">
        <x:f aca="0">IFERROR(INDEX(Log!$J:$J,MATCH($A88&amp;"|"&amp;$B88&amp;"|3|"&amp;$C88,Log!$M:$M,0)),"")</x:f>
      </x:c>
      <x:c r="G88" s="14" t="n">
        <x:f aca="0">IF(COUNTIF(D88:F88,"Y")+COUNTIF(D88:F88,"partial")+COUNTIF(D88:F88,"N")=3,1,0)</x:f>
        <x:v>0</x:v>
      </x:c>
      <x:c r="H88" s="14" t="n">
        <x:f aca="0">IF(G88=1,IF(AND(D88=E88,E88=F88),1,0),0)</x:f>
        <x:v>0</x:v>
      </x:c>
    </x:row>
    <x:row r="89" ht="15" hidden="0" customHeight="1">
      <x:c r="A89" s="14" t="str">
        <x:f aca="0">Reference!$B$3</x:f>
        <x:v>RC</x:v>
      </x:c>
      <x:c r="B89" s="14" t="s">
        <x:v>12</x:v>
      </x:c>
      <x:c r="C89" s="15" t="s">
        <x:v>49</x:v>
      </x:c>
      <x:c r="D89" s="14" t="str">
        <x:f aca="0">IFERROR(INDEX(Log!$J:$J,MATCH($A89&amp;"|"&amp;$B89&amp;"|1|"&amp;$C89,Log!$M:$M,0)),"")</x:f>
      </x:c>
      <x:c r="E89" s="14" t="str">
        <x:f aca="0">IFERROR(INDEX(Log!$J:$J,MATCH($A89&amp;"|"&amp;$B89&amp;"|2|"&amp;$C89,Log!$M:$M,0)),"")</x:f>
      </x:c>
      <x:c r="F89" s="14" t="str">
        <x:f aca="0">IFERROR(INDEX(Log!$J:$J,MATCH($A89&amp;"|"&amp;$B89&amp;"|3|"&amp;$C89,Log!$M:$M,0)),"")</x:f>
      </x:c>
      <x:c r="G89" s="14" t="n">
        <x:f aca="0">IF(COUNTIF(D89:F89,"Y")+COUNTIF(D89:F89,"partial")+COUNTIF(D89:F89,"N")=3,1,0)</x:f>
        <x:v>0</x:v>
      </x:c>
      <x:c r="H89" s="14" t="n">
        <x:f aca="0">IF(G89=1,IF(AND(D89=E89,E89=F89),1,0),0)</x:f>
        <x:v>0</x:v>
      </x:c>
    </x:row>
    <x:row r="90" ht="15" hidden="0" customHeight="1">
      <x:c r="A90" s="14" t="str">
        <x:f aca="0">Reference!$B$3</x:f>
        <x:v>RC</x:v>
      </x:c>
      <x:c r="B90" s="14" t="s">
        <x:v>12</x:v>
      </x:c>
      <x:c r="C90" s="15" t="s">
        <x:v>51</x:v>
      </x:c>
      <x:c r="D90" s="14" t="str">
        <x:f aca="0">IFERROR(INDEX(Log!$J:$J,MATCH($A90&amp;"|"&amp;$B90&amp;"|1|"&amp;$C90,Log!$M:$M,0)),"")</x:f>
      </x:c>
      <x:c r="E90" s="14" t="str">
        <x:f aca="0">IFERROR(INDEX(Log!$J:$J,MATCH($A90&amp;"|"&amp;$B90&amp;"|2|"&amp;$C90,Log!$M:$M,0)),"")</x:f>
      </x:c>
      <x:c r="F90" s="14" t="str">
        <x:f aca="0">IFERROR(INDEX(Log!$J:$J,MATCH($A90&amp;"|"&amp;$B90&amp;"|3|"&amp;$C90,Log!$M:$M,0)),"")</x:f>
      </x:c>
      <x:c r="G90" s="14" t="n">
        <x:f aca="0">IF(COUNTIF(D90:F90,"Y")+COUNTIF(D90:F90,"partial")+COUNTIF(D90:F90,"N")=3,1,0)</x:f>
        <x:v>0</x:v>
      </x:c>
      <x:c r="H90" s="14" t="n">
        <x:f aca="0">IF(G90=1,IF(AND(D90=E90,E90=F90),1,0),0)</x:f>
        <x:v>0</x:v>
      </x:c>
    </x:row>
    <x:row r="91" ht="15" hidden="0" customHeight="1">
      <x:c r="A91" s="14" t="str">
        <x:f aca="0">Reference!$B$3</x:f>
        <x:v>RC</x:v>
      </x:c>
      <x:c r="B91" s="14" t="s">
        <x:v>12</x:v>
      </x:c>
      <x:c r="C91" s="15" t="s">
        <x:v>53</x:v>
      </x:c>
      <x:c r="D91" s="14" t="str">
        <x:f aca="0">IFERROR(INDEX(Log!$J:$J,MATCH($A91&amp;"|"&amp;$B91&amp;"|1|"&amp;$C91,Log!$M:$M,0)),"")</x:f>
      </x:c>
      <x:c r="E91" s="14" t="str">
        <x:f aca="0">IFERROR(INDEX(Log!$J:$J,MATCH($A91&amp;"|"&amp;$B91&amp;"|2|"&amp;$C91,Log!$M:$M,0)),"")</x:f>
      </x:c>
      <x:c r="F91" s="14" t="str">
        <x:f aca="0">IFERROR(INDEX(Log!$J:$J,MATCH($A91&amp;"|"&amp;$B91&amp;"|3|"&amp;$C91,Log!$M:$M,0)),"")</x:f>
      </x:c>
      <x:c r="G91" s="14" t="n">
        <x:f aca="0">IF(COUNTIF(D91:F91,"Y")+COUNTIF(D91:F91,"partial")+COUNTIF(D91:F91,"N")=3,1,0)</x:f>
        <x:v>0</x:v>
      </x:c>
      <x:c r="H91" s="14" t="n">
        <x:f aca="0">IF(G91=1,IF(AND(D91=E91,E91=F91),1,0),0)</x:f>
        <x:v>0</x:v>
      </x:c>
    </x:row>
    <x:row r="92" ht="15" hidden="0" customHeight="1">
      <x:c r="A92" s="14" t="str">
        <x:f aca="0">Reference!$B$3</x:f>
        <x:v>RC</x:v>
      </x:c>
      <x:c r="B92" s="14" t="s">
        <x:v>14</x:v>
      </x:c>
      <x:c r="C92" s="15" t="s">
        <x:v>35</x:v>
      </x:c>
      <x:c r="D92" s="14" t="str">
        <x:f aca="0">IFERROR(INDEX(Log!$J:$J,MATCH($A92&amp;"|"&amp;$B92&amp;"|1|"&amp;$C92,Log!$M:$M,0)),"")</x:f>
      </x:c>
      <x:c r="E92" s="14" t="str">
        <x:f aca="0">IFERROR(INDEX(Log!$J:$J,MATCH($A92&amp;"|"&amp;$B92&amp;"|2|"&amp;$C92,Log!$M:$M,0)),"")</x:f>
      </x:c>
      <x:c r="F92" s="14" t="str">
        <x:f aca="0">IFERROR(INDEX(Log!$J:$J,MATCH($A92&amp;"|"&amp;$B92&amp;"|3|"&amp;$C92,Log!$M:$M,0)),"")</x:f>
      </x:c>
      <x:c r="G92" s="14" t="n">
        <x:f aca="0">IF(COUNTIF(D92:F92,"Y")+COUNTIF(D92:F92,"partial")+COUNTIF(D92:F92,"N")=3,1,0)</x:f>
        <x:v>0</x:v>
      </x:c>
      <x:c r="H92" s="14" t="n">
        <x:f aca="0">IF(G92=1,IF(AND(D92=E92,E92=F92),1,0),0)</x:f>
        <x:v>0</x:v>
      </x:c>
    </x:row>
    <x:row r="93" ht="15" hidden="0" customHeight="1">
      <x:c r="A93" s="14" t="str">
        <x:f aca="0">Reference!$B$3</x:f>
        <x:v>RC</x:v>
      </x:c>
      <x:c r="B93" s="14" t="s">
        <x:v>14</x:v>
      </x:c>
      <x:c r="C93" s="15" t="s">
        <x:v>37</x:v>
      </x:c>
      <x:c r="D93" s="14" t="str">
        <x:f aca="0">IFERROR(INDEX(Log!$J:$J,MATCH($A93&amp;"|"&amp;$B93&amp;"|1|"&amp;$C93,Log!$M:$M,0)),"")</x:f>
      </x:c>
      <x:c r="E93" s="14" t="str">
        <x:f aca="0">IFERROR(INDEX(Log!$J:$J,MATCH($A93&amp;"|"&amp;$B93&amp;"|2|"&amp;$C93,Log!$M:$M,0)),"")</x:f>
      </x:c>
      <x:c r="F93" s="14" t="str">
        <x:f aca="0">IFERROR(INDEX(Log!$J:$J,MATCH($A93&amp;"|"&amp;$B93&amp;"|3|"&amp;$C93,Log!$M:$M,0)),"")</x:f>
      </x:c>
      <x:c r="G93" s="14" t="n">
        <x:f aca="0">IF(COUNTIF(D93:F93,"Y")+COUNTIF(D93:F93,"partial")+COUNTIF(D93:F93,"N")=3,1,0)</x:f>
        <x:v>0</x:v>
      </x:c>
      <x:c r="H93" s="14" t="n">
        <x:f aca="0">IF(G93=1,IF(AND(D93=E93,E93=F93),1,0),0)</x:f>
        <x:v>0</x:v>
      </x:c>
    </x:row>
    <x:row r="94" ht="15" hidden="0" customHeight="1">
      <x:c r="A94" s="14" t="str">
        <x:f aca="0">Reference!$B$3</x:f>
        <x:v>RC</x:v>
      </x:c>
      <x:c r="B94" s="14" t="s">
        <x:v>14</x:v>
      </x:c>
      <x:c r="C94" s="15" t="s">
        <x:v>39</x:v>
      </x:c>
      <x:c r="D94" s="14" t="str">
        <x:f aca="0">IFERROR(INDEX(Log!$J:$J,MATCH($A94&amp;"|"&amp;$B94&amp;"|1|"&amp;$C94,Log!$M:$M,0)),"")</x:f>
      </x:c>
      <x:c r="E94" s="14" t="str">
        <x:f aca="0">IFERROR(INDEX(Log!$J:$J,MATCH($A94&amp;"|"&amp;$B94&amp;"|2|"&amp;$C94,Log!$M:$M,0)),"")</x:f>
      </x:c>
      <x:c r="F94" s="14" t="str">
        <x:f aca="0">IFERROR(INDEX(Log!$J:$J,MATCH($A94&amp;"|"&amp;$B94&amp;"|3|"&amp;$C94,Log!$M:$M,0)),"")</x:f>
      </x:c>
      <x:c r="G94" s="14" t="n">
        <x:f aca="0">IF(COUNTIF(D94:F94,"Y")+COUNTIF(D94:F94,"partial")+COUNTIF(D94:F94,"N")=3,1,0)</x:f>
        <x:v>0</x:v>
      </x:c>
      <x:c r="H94" s="14" t="n">
        <x:f aca="0">IF(G94=1,IF(AND(D94=E94,E94=F94),1,0),0)</x:f>
        <x:v>0</x:v>
      </x:c>
    </x:row>
    <x:row r="95" ht="15" hidden="0" customHeight="1">
      <x:c r="A95" s="14" t="str">
        <x:f aca="0">Reference!$B$3</x:f>
        <x:v>RC</x:v>
      </x:c>
      <x:c r="B95" s="14" t="s">
        <x:v>14</x:v>
      </x:c>
      <x:c r="C95" s="15" t="s">
        <x:v>41</x:v>
      </x:c>
      <x:c r="D95" s="14" t="str">
        <x:f aca="0">IFERROR(INDEX(Log!$J:$J,MATCH($A95&amp;"|"&amp;$B95&amp;"|1|"&amp;$C95,Log!$M:$M,0)),"")</x:f>
      </x:c>
      <x:c r="E95" s="14" t="str">
        <x:f aca="0">IFERROR(INDEX(Log!$J:$J,MATCH($A95&amp;"|"&amp;$B95&amp;"|2|"&amp;$C95,Log!$M:$M,0)),"")</x:f>
      </x:c>
      <x:c r="F95" s="14" t="str">
        <x:f aca="0">IFERROR(INDEX(Log!$J:$J,MATCH($A95&amp;"|"&amp;$B95&amp;"|3|"&amp;$C95,Log!$M:$M,0)),"")</x:f>
      </x:c>
      <x:c r="G95" s="14" t="n">
        <x:f aca="0">IF(COUNTIF(D95:F95,"Y")+COUNTIF(D95:F95,"partial")+COUNTIF(D95:F95,"N")=3,1,0)</x:f>
        <x:v>0</x:v>
      </x:c>
      <x:c r="H95" s="14" t="n">
        <x:f aca="0">IF(G95=1,IF(AND(D95=E95,E95=F95),1,0),0)</x:f>
        <x:v>0</x:v>
      </x:c>
    </x:row>
    <x:row r="96" ht="15" hidden="0" customHeight="1">
      <x:c r="A96" s="14" t="str">
        <x:f aca="0">Reference!$B$3</x:f>
        <x:v>RC</x:v>
      </x:c>
      <x:c r="B96" s="14" t="s">
        <x:v>14</x:v>
      </x:c>
      <x:c r="C96" s="15" t="s">
        <x:v>43</x:v>
      </x:c>
      <x:c r="D96" s="14" t="str">
        <x:f aca="0">IFERROR(INDEX(Log!$J:$J,MATCH($A96&amp;"|"&amp;$B96&amp;"|1|"&amp;$C96,Log!$M:$M,0)),"")</x:f>
      </x:c>
      <x:c r="E96" s="14" t="str">
        <x:f aca="0">IFERROR(INDEX(Log!$J:$J,MATCH($A96&amp;"|"&amp;$B96&amp;"|2|"&amp;$C96,Log!$M:$M,0)),"")</x:f>
      </x:c>
      <x:c r="F96" s="14" t="str">
        <x:f aca="0">IFERROR(INDEX(Log!$J:$J,MATCH($A96&amp;"|"&amp;$B96&amp;"|3|"&amp;$C96,Log!$M:$M,0)),"")</x:f>
      </x:c>
      <x:c r="G96" s="14" t="n">
        <x:f aca="0">IF(COUNTIF(D96:F96,"Y")+COUNTIF(D96:F96,"partial")+COUNTIF(D96:F96,"N")=3,1,0)</x:f>
        <x:v>0</x:v>
      </x:c>
      <x:c r="H96" s="14" t="n">
        <x:f aca="0">IF(G96=1,IF(AND(D96=E96,E96=F96),1,0),0)</x:f>
        <x:v>0</x:v>
      </x:c>
    </x:row>
    <x:row r="97" ht="15" hidden="0" customHeight="1">
      <x:c r="A97" s="14" t="str">
        <x:f aca="0">Reference!$B$3</x:f>
        <x:v>RC</x:v>
      </x:c>
      <x:c r="B97" s="14" t="s">
        <x:v>14</x:v>
      </x:c>
      <x:c r="C97" s="15" t="s">
        <x:v>45</x:v>
      </x:c>
      <x:c r="D97" s="14" t="str">
        <x:f aca="0">IFERROR(INDEX(Log!$J:$J,MATCH($A97&amp;"|"&amp;$B97&amp;"|1|"&amp;$C97,Log!$M:$M,0)),"")</x:f>
      </x:c>
      <x:c r="E97" s="14" t="str">
        <x:f aca="0">IFERROR(INDEX(Log!$J:$J,MATCH($A97&amp;"|"&amp;$B97&amp;"|2|"&amp;$C97,Log!$M:$M,0)),"")</x:f>
      </x:c>
      <x:c r="F97" s="14" t="str">
        <x:f aca="0">IFERROR(INDEX(Log!$J:$J,MATCH($A97&amp;"|"&amp;$B97&amp;"|3|"&amp;$C97,Log!$M:$M,0)),"")</x:f>
      </x:c>
      <x:c r="G97" s="14" t="n">
        <x:f aca="0">IF(COUNTIF(D97:F97,"Y")+COUNTIF(D97:F97,"partial")+COUNTIF(D97:F97,"N")=3,1,0)</x:f>
        <x:v>0</x:v>
      </x:c>
      <x:c r="H97" s="14" t="n">
        <x:f aca="0">IF(G97=1,IF(AND(D97=E97,E97=F97),1,0),0)</x:f>
        <x:v>0</x:v>
      </x:c>
    </x:row>
    <x:row r="98" ht="15" hidden="0" customHeight="1">
      <x:c r="A98" s="14" t="str">
        <x:f aca="0">Reference!$B$3</x:f>
        <x:v>RC</x:v>
      </x:c>
      <x:c r="B98" s="14" t="s">
        <x:v>14</x:v>
      </x:c>
      <x:c r="C98" s="15" t="s">
        <x:v>47</x:v>
      </x:c>
      <x:c r="D98" s="14" t="str">
        <x:f aca="0">IFERROR(INDEX(Log!$J:$J,MATCH($A98&amp;"|"&amp;$B98&amp;"|1|"&amp;$C98,Log!$M:$M,0)),"")</x:f>
      </x:c>
      <x:c r="E98" s="14" t="str">
        <x:f aca="0">IFERROR(INDEX(Log!$J:$J,MATCH($A98&amp;"|"&amp;$B98&amp;"|2|"&amp;$C98,Log!$M:$M,0)),"")</x:f>
      </x:c>
      <x:c r="F98" s="14" t="str">
        <x:f aca="0">IFERROR(INDEX(Log!$J:$J,MATCH($A98&amp;"|"&amp;$B98&amp;"|3|"&amp;$C98,Log!$M:$M,0)),"")</x:f>
      </x:c>
      <x:c r="G98" s="14" t="n">
        <x:f aca="0">IF(COUNTIF(D98:F98,"Y")+COUNTIF(D98:F98,"partial")+COUNTIF(D98:F98,"N")=3,1,0)</x:f>
        <x:v>0</x:v>
      </x:c>
      <x:c r="H98" s="14" t="n">
        <x:f aca="0">IF(G98=1,IF(AND(D98=E98,E98=F98),1,0),0)</x:f>
        <x:v>0</x:v>
      </x:c>
    </x:row>
    <x:row r="99" ht="15" hidden="0" customHeight="1">
      <x:c r="A99" s="14" t="str">
        <x:f aca="0">Reference!$B$3</x:f>
        <x:v>RC</x:v>
      </x:c>
      <x:c r="B99" s="14" t="s">
        <x:v>14</x:v>
      </x:c>
      <x:c r="C99" s="15" t="s">
        <x:v>49</x:v>
      </x:c>
      <x:c r="D99" s="14" t="str">
        <x:f aca="0">IFERROR(INDEX(Log!$J:$J,MATCH($A99&amp;"|"&amp;$B99&amp;"|1|"&amp;$C99,Log!$M:$M,0)),"")</x:f>
      </x:c>
      <x:c r="E99" s="14" t="str">
        <x:f aca="0">IFERROR(INDEX(Log!$J:$J,MATCH($A99&amp;"|"&amp;$B99&amp;"|2|"&amp;$C99,Log!$M:$M,0)),"")</x:f>
      </x:c>
      <x:c r="F99" s="14" t="str">
        <x:f aca="0">IFERROR(INDEX(Log!$J:$J,MATCH($A99&amp;"|"&amp;$B99&amp;"|3|"&amp;$C99,Log!$M:$M,0)),"")</x:f>
      </x:c>
      <x:c r="G99" s="14" t="n">
        <x:f aca="0">IF(COUNTIF(D99:F99,"Y")+COUNTIF(D99:F99,"partial")+COUNTIF(D99:F99,"N")=3,1,0)</x:f>
        <x:v>0</x:v>
      </x:c>
      <x:c r="H99" s="14" t="n">
        <x:f aca="0">IF(G99=1,IF(AND(D99=E99,E99=F99),1,0),0)</x:f>
        <x:v>0</x:v>
      </x:c>
    </x:row>
    <x:row r="100" ht="15" hidden="0" customHeight="1">
      <x:c r="A100" s="14" t="str">
        <x:f aca="0">Reference!$B$3</x:f>
        <x:v>RC</x:v>
      </x:c>
      <x:c r="B100" s="14" t="s">
        <x:v>14</x:v>
      </x:c>
      <x:c r="C100" s="15" t="s">
        <x:v>51</x:v>
      </x:c>
      <x:c r="D100" s="14" t="str">
        <x:f aca="0">IFERROR(INDEX(Log!$J:$J,MATCH($A100&amp;"|"&amp;$B100&amp;"|1|"&amp;$C100,Log!$M:$M,0)),"")</x:f>
      </x:c>
      <x:c r="E100" s="14" t="str">
        <x:f aca="0">IFERROR(INDEX(Log!$J:$J,MATCH($A100&amp;"|"&amp;$B100&amp;"|2|"&amp;$C100,Log!$M:$M,0)),"")</x:f>
      </x:c>
      <x:c r="F100" s="14" t="str">
        <x:f aca="0">IFERROR(INDEX(Log!$J:$J,MATCH($A100&amp;"|"&amp;$B100&amp;"|3|"&amp;$C100,Log!$M:$M,0)),"")</x:f>
      </x:c>
      <x:c r="G100" s="14" t="n">
        <x:f aca="0">IF(COUNTIF(D100:F100,"Y")+COUNTIF(D100:F100,"partial")+COUNTIF(D100:F100,"N")=3,1,0)</x:f>
        <x:v>0</x:v>
      </x:c>
      <x:c r="H100" s="14" t="n">
        <x:f aca="0">IF(G100=1,IF(AND(D100=E100,E100=F100),1,0),0)</x:f>
        <x:v>0</x:v>
      </x:c>
    </x:row>
    <x:row r="101" ht="15" hidden="0" customHeight="1">
      <x:c r="A101" s="14" t="str">
        <x:f aca="0">Reference!$B$3</x:f>
        <x:v>RC</x:v>
      </x:c>
      <x:c r="B101" s="14" t="s">
        <x:v>14</x:v>
      </x:c>
      <x:c r="C101" s="15" t="s">
        <x:v>53</x:v>
      </x:c>
      <x:c r="D101" s="14" t="str">
        <x:f aca="0">IFERROR(INDEX(Log!$J:$J,MATCH($A101&amp;"|"&amp;$B101&amp;"|1|"&amp;$C101,Log!$M:$M,0)),"")</x:f>
      </x:c>
      <x:c r="E101" s="14" t="str">
        <x:f aca="0">IFERROR(INDEX(Log!$J:$J,MATCH($A101&amp;"|"&amp;$B101&amp;"|2|"&amp;$C101,Log!$M:$M,0)),"")</x:f>
      </x:c>
      <x:c r="F101" s="14" t="str">
        <x:f aca="0">IFERROR(INDEX(Log!$J:$J,MATCH($A101&amp;"|"&amp;$B101&amp;"|3|"&amp;$C101,Log!$M:$M,0)),"")</x:f>
      </x:c>
      <x:c r="G101" s="14" t="n">
        <x:f aca="0">IF(COUNTIF(D101:F101,"Y")+COUNTIF(D101:F101,"partial")+COUNTIF(D101:F101,"N")=3,1,0)</x:f>
        <x:v>0</x:v>
      </x:c>
      <x:c r="H101" s="14" t="n">
        <x:f aca="0">IF(G101=1,IF(AND(D101=E101,E101=F101),1,0),0)</x:f>
        <x:v>0</x:v>
      </x:c>
    </x:row>
    <x:row r="102" ht="15" hidden="0" customHeight="1">
      <x:c r="A102" s="14" t="str">
        <x:f aca="0">Reference!$B$3</x:f>
        <x:v>RC</x:v>
      </x:c>
      <x:c r="B102" s="14" t="s">
        <x:v>16</x:v>
      </x:c>
      <x:c r="C102" s="15" t="s">
        <x:v>35</x:v>
      </x:c>
      <x:c r="D102" s="14" t="str">
        <x:f aca="0">IFERROR(INDEX(Log!$J:$J,MATCH($A102&amp;"|"&amp;$B102&amp;"|1|"&amp;$C102,Log!$M:$M,0)),"")</x:f>
      </x:c>
      <x:c r="E102" s="14" t="str">
        <x:f aca="0">IFERROR(INDEX(Log!$J:$J,MATCH($A102&amp;"|"&amp;$B102&amp;"|2|"&amp;$C102,Log!$M:$M,0)),"")</x:f>
      </x:c>
      <x:c r="F102" s="14" t="str">
        <x:f aca="0">IFERROR(INDEX(Log!$J:$J,MATCH($A102&amp;"|"&amp;$B102&amp;"|3|"&amp;$C102,Log!$M:$M,0)),"")</x:f>
      </x:c>
      <x:c r="G102" s="14" t="n">
        <x:f aca="0">IF(COUNTIF(D102:F102,"Y")+COUNTIF(D102:F102,"partial")+COUNTIF(D102:F102,"N")=3,1,0)</x:f>
        <x:v>0</x:v>
      </x:c>
      <x:c r="H102" s="14" t="n">
        <x:f aca="0">IF(G102=1,IF(AND(D102=E102,E102=F102),1,0),0)</x:f>
        <x:v>0</x:v>
      </x:c>
    </x:row>
    <x:row r="103" ht="15" hidden="0" customHeight="1">
      <x:c r="A103" s="14" t="str">
        <x:f aca="0">Reference!$B$3</x:f>
        <x:v>RC</x:v>
      </x:c>
      <x:c r="B103" s="14" t="s">
        <x:v>16</x:v>
      </x:c>
      <x:c r="C103" s="15" t="s">
        <x:v>37</x:v>
      </x:c>
      <x:c r="D103" s="14" t="str">
        <x:f aca="0">IFERROR(INDEX(Log!$J:$J,MATCH($A103&amp;"|"&amp;$B103&amp;"|1|"&amp;$C103,Log!$M:$M,0)),"")</x:f>
      </x:c>
      <x:c r="E103" s="14" t="str">
        <x:f aca="0">IFERROR(INDEX(Log!$J:$J,MATCH($A103&amp;"|"&amp;$B103&amp;"|2|"&amp;$C103,Log!$M:$M,0)),"")</x:f>
      </x:c>
      <x:c r="F103" s="14" t="str">
        <x:f aca="0">IFERROR(INDEX(Log!$J:$J,MATCH($A103&amp;"|"&amp;$B103&amp;"|3|"&amp;$C103,Log!$M:$M,0)),"")</x:f>
      </x:c>
      <x:c r="G103" s="14" t="n">
        <x:f aca="0">IF(COUNTIF(D103:F103,"Y")+COUNTIF(D103:F103,"partial")+COUNTIF(D103:F103,"N")=3,1,0)</x:f>
        <x:v>0</x:v>
      </x:c>
      <x:c r="H103" s="14" t="n">
        <x:f aca="0">IF(G103=1,IF(AND(D103=E103,E103=F103),1,0),0)</x:f>
        <x:v>0</x:v>
      </x:c>
    </x:row>
    <x:row r="104" ht="15" hidden="0" customHeight="1">
      <x:c r="A104" s="14" t="str">
        <x:f aca="0">Reference!$B$3</x:f>
        <x:v>RC</x:v>
      </x:c>
      <x:c r="B104" s="14" t="s">
        <x:v>16</x:v>
      </x:c>
      <x:c r="C104" s="15" t="s">
        <x:v>39</x:v>
      </x:c>
      <x:c r="D104" s="14" t="str">
        <x:f aca="0">IFERROR(INDEX(Log!$J:$J,MATCH($A104&amp;"|"&amp;$B104&amp;"|1|"&amp;$C104,Log!$M:$M,0)),"")</x:f>
      </x:c>
      <x:c r="E104" s="14" t="str">
        <x:f aca="0">IFERROR(INDEX(Log!$J:$J,MATCH($A104&amp;"|"&amp;$B104&amp;"|2|"&amp;$C104,Log!$M:$M,0)),"")</x:f>
      </x:c>
      <x:c r="F104" s="14" t="str">
        <x:f aca="0">IFERROR(INDEX(Log!$J:$J,MATCH($A104&amp;"|"&amp;$B104&amp;"|3|"&amp;$C104,Log!$M:$M,0)),"")</x:f>
      </x:c>
      <x:c r="G104" s="14" t="n">
        <x:f aca="0">IF(COUNTIF(D104:F104,"Y")+COUNTIF(D104:F104,"partial")+COUNTIF(D104:F104,"N")=3,1,0)</x:f>
        <x:v>0</x:v>
      </x:c>
      <x:c r="H104" s="14" t="n">
        <x:f aca="0">IF(G104=1,IF(AND(D104=E104,E104=F104),1,0),0)</x:f>
        <x:v>0</x:v>
      </x:c>
    </x:row>
    <x:row r="105" ht="15" hidden="0" customHeight="1">
      <x:c r="A105" s="14" t="str">
        <x:f aca="0">Reference!$B$3</x:f>
        <x:v>RC</x:v>
      </x:c>
      <x:c r="B105" s="14" t="s">
        <x:v>16</x:v>
      </x:c>
      <x:c r="C105" s="15" t="s">
        <x:v>41</x:v>
      </x:c>
      <x:c r="D105" s="14" t="str">
        <x:f aca="0">IFERROR(INDEX(Log!$J:$J,MATCH($A105&amp;"|"&amp;$B105&amp;"|1|"&amp;$C105,Log!$M:$M,0)),"")</x:f>
      </x:c>
      <x:c r="E105" s="14" t="str">
        <x:f aca="0">IFERROR(INDEX(Log!$J:$J,MATCH($A105&amp;"|"&amp;$B105&amp;"|2|"&amp;$C105,Log!$M:$M,0)),"")</x:f>
      </x:c>
      <x:c r="F105" s="14" t="str">
        <x:f aca="0">IFERROR(INDEX(Log!$J:$J,MATCH($A105&amp;"|"&amp;$B105&amp;"|3|"&amp;$C105,Log!$M:$M,0)),"")</x:f>
      </x:c>
      <x:c r="G105" s="14" t="n">
        <x:f aca="0">IF(COUNTIF(D105:F105,"Y")+COUNTIF(D105:F105,"partial")+COUNTIF(D105:F105,"N")=3,1,0)</x:f>
        <x:v>0</x:v>
      </x:c>
      <x:c r="H105" s="14" t="n">
        <x:f aca="0">IF(G105=1,IF(AND(D105=E105,E105=F105),1,0),0)</x:f>
        <x:v>0</x:v>
      </x:c>
    </x:row>
    <x:row r="106" ht="15" hidden="0" customHeight="1">
      <x:c r="A106" s="14" t="str">
        <x:f aca="0">Reference!$B$3</x:f>
        <x:v>RC</x:v>
      </x:c>
      <x:c r="B106" s="14" t="s">
        <x:v>16</x:v>
      </x:c>
      <x:c r="C106" s="15" t="s">
        <x:v>43</x:v>
      </x:c>
      <x:c r="D106" s="14" t="str">
        <x:f aca="0">IFERROR(INDEX(Log!$J:$J,MATCH($A106&amp;"|"&amp;$B106&amp;"|1|"&amp;$C106,Log!$M:$M,0)),"")</x:f>
      </x:c>
      <x:c r="E106" s="14" t="str">
        <x:f aca="0">IFERROR(INDEX(Log!$J:$J,MATCH($A106&amp;"|"&amp;$B106&amp;"|2|"&amp;$C106,Log!$M:$M,0)),"")</x:f>
      </x:c>
      <x:c r="F106" s="14" t="str">
        <x:f aca="0">IFERROR(INDEX(Log!$J:$J,MATCH($A106&amp;"|"&amp;$B106&amp;"|3|"&amp;$C106,Log!$M:$M,0)),"")</x:f>
      </x:c>
      <x:c r="G106" s="14" t="n">
        <x:f aca="0">IF(COUNTIF(D106:F106,"Y")+COUNTIF(D106:F106,"partial")+COUNTIF(D106:F106,"N")=3,1,0)</x:f>
        <x:v>0</x:v>
      </x:c>
      <x:c r="H106" s="14" t="n">
        <x:f aca="0">IF(G106=1,IF(AND(D106=E106,E106=F106),1,0),0)</x:f>
        <x:v>0</x:v>
      </x:c>
    </x:row>
    <x:row r="107" ht="15" hidden="0" customHeight="1">
      <x:c r="A107" s="14" t="str">
        <x:f aca="0">Reference!$B$3</x:f>
        <x:v>RC</x:v>
      </x:c>
      <x:c r="B107" s="14" t="s">
        <x:v>16</x:v>
      </x:c>
      <x:c r="C107" s="15" t="s">
        <x:v>45</x:v>
      </x:c>
      <x:c r="D107" s="14" t="str">
        <x:f aca="0">IFERROR(INDEX(Log!$J:$J,MATCH($A107&amp;"|"&amp;$B107&amp;"|1|"&amp;$C107,Log!$M:$M,0)),"")</x:f>
      </x:c>
      <x:c r="E107" s="14" t="str">
        <x:f aca="0">IFERROR(INDEX(Log!$J:$J,MATCH($A107&amp;"|"&amp;$B107&amp;"|2|"&amp;$C107,Log!$M:$M,0)),"")</x:f>
      </x:c>
      <x:c r="F107" s="14" t="str">
        <x:f aca="0">IFERROR(INDEX(Log!$J:$J,MATCH($A107&amp;"|"&amp;$B107&amp;"|3|"&amp;$C107,Log!$M:$M,0)),"")</x:f>
      </x:c>
      <x:c r="G107" s="14" t="n">
        <x:f aca="0">IF(COUNTIF(D107:F107,"Y")+COUNTIF(D107:F107,"partial")+COUNTIF(D107:F107,"N")=3,1,0)</x:f>
        <x:v>0</x:v>
      </x:c>
      <x:c r="H107" s="14" t="n">
        <x:f aca="0">IF(G107=1,IF(AND(D107=E107,E107=F107),1,0),0)</x:f>
        <x:v>0</x:v>
      </x:c>
    </x:row>
    <x:row r="108" ht="15" hidden="0" customHeight="1">
      <x:c r="A108" s="14" t="str">
        <x:f aca="0">Reference!$B$3</x:f>
        <x:v>RC</x:v>
      </x:c>
      <x:c r="B108" s="14" t="s">
        <x:v>16</x:v>
      </x:c>
      <x:c r="C108" s="15" t="s">
        <x:v>47</x:v>
      </x:c>
      <x:c r="D108" s="14" t="str">
        <x:f aca="0">IFERROR(INDEX(Log!$J:$J,MATCH($A108&amp;"|"&amp;$B108&amp;"|1|"&amp;$C108,Log!$M:$M,0)),"")</x:f>
      </x:c>
      <x:c r="E108" s="14" t="str">
        <x:f aca="0">IFERROR(INDEX(Log!$J:$J,MATCH($A108&amp;"|"&amp;$B108&amp;"|2|"&amp;$C108,Log!$M:$M,0)),"")</x:f>
      </x:c>
      <x:c r="F108" s="14" t="str">
        <x:f aca="0">IFERROR(INDEX(Log!$J:$J,MATCH($A108&amp;"|"&amp;$B108&amp;"|3|"&amp;$C108,Log!$M:$M,0)),"")</x:f>
      </x:c>
      <x:c r="G108" s="14" t="n">
        <x:f aca="0">IF(COUNTIF(D108:F108,"Y")+COUNTIF(D108:F108,"partial")+COUNTIF(D108:F108,"N")=3,1,0)</x:f>
        <x:v>0</x:v>
      </x:c>
      <x:c r="H108" s="14" t="n">
        <x:f aca="0">IF(G108=1,IF(AND(D108=E108,E108=F108),1,0),0)</x:f>
        <x:v>0</x:v>
      </x:c>
    </x:row>
    <x:row r="109" ht="15" hidden="0" customHeight="1">
      <x:c r="A109" s="14" t="str">
        <x:f aca="0">Reference!$B$3</x:f>
        <x:v>RC</x:v>
      </x:c>
      <x:c r="B109" s="14" t="s">
        <x:v>16</x:v>
      </x:c>
      <x:c r="C109" s="15" t="s">
        <x:v>49</x:v>
      </x:c>
      <x:c r="D109" s="14" t="str">
        <x:f aca="0">IFERROR(INDEX(Log!$J:$J,MATCH($A109&amp;"|"&amp;$B109&amp;"|1|"&amp;$C109,Log!$M:$M,0)),"")</x:f>
      </x:c>
      <x:c r="E109" s="14" t="str">
        <x:f aca="0">IFERROR(INDEX(Log!$J:$J,MATCH($A109&amp;"|"&amp;$B109&amp;"|2|"&amp;$C109,Log!$M:$M,0)),"")</x:f>
      </x:c>
      <x:c r="F109" s="14" t="str">
        <x:f aca="0">IFERROR(INDEX(Log!$J:$J,MATCH($A109&amp;"|"&amp;$B109&amp;"|3|"&amp;$C109,Log!$M:$M,0)),"")</x:f>
      </x:c>
      <x:c r="G109" s="14" t="n">
        <x:f aca="0">IF(COUNTIF(D109:F109,"Y")+COUNTIF(D109:F109,"partial")+COUNTIF(D109:F109,"N")=3,1,0)</x:f>
        <x:v>0</x:v>
      </x:c>
      <x:c r="H109" s="14" t="n">
        <x:f aca="0">IF(G109=1,IF(AND(D109=E109,E109=F109),1,0),0)</x:f>
        <x:v>0</x:v>
      </x:c>
    </x:row>
    <x:row r="110" ht="15" hidden="0" customHeight="1">
      <x:c r="A110" s="14" t="str">
        <x:f aca="0">Reference!$B$3</x:f>
        <x:v>RC</x:v>
      </x:c>
      <x:c r="B110" s="14" t="s">
        <x:v>16</x:v>
      </x:c>
      <x:c r="C110" s="15" t="s">
        <x:v>51</x:v>
      </x:c>
      <x:c r="D110" s="14" t="str">
        <x:f aca="0">IFERROR(INDEX(Log!$J:$J,MATCH($A110&amp;"|"&amp;$B110&amp;"|1|"&amp;$C110,Log!$M:$M,0)),"")</x:f>
      </x:c>
      <x:c r="E110" s="14" t="str">
        <x:f aca="0">IFERROR(INDEX(Log!$J:$J,MATCH($A110&amp;"|"&amp;$B110&amp;"|2|"&amp;$C110,Log!$M:$M,0)),"")</x:f>
      </x:c>
      <x:c r="F110" s="14" t="str">
        <x:f aca="0">IFERROR(INDEX(Log!$J:$J,MATCH($A110&amp;"|"&amp;$B110&amp;"|3|"&amp;$C110,Log!$M:$M,0)),"")</x:f>
      </x:c>
      <x:c r="G110" s="14" t="n">
        <x:f aca="0">IF(COUNTIF(D110:F110,"Y")+COUNTIF(D110:F110,"partial")+COUNTIF(D110:F110,"N")=3,1,0)</x:f>
        <x:v>0</x:v>
      </x:c>
      <x:c r="H110" s="14" t="n">
        <x:f aca="0">IF(G110=1,IF(AND(D110=E110,E110=F110),1,0),0)</x:f>
        <x:v>0</x:v>
      </x:c>
    </x:row>
    <x:row r="111" ht="15" hidden="0" customHeight="1">
      <x:c r="A111" s="14" t="str">
        <x:f aca="0">Reference!$B$3</x:f>
        <x:v>RC</x:v>
      </x:c>
      <x:c r="B111" s="14" t="s">
        <x:v>16</x:v>
      </x:c>
      <x:c r="C111" s="15" t="s">
        <x:v>53</x:v>
      </x:c>
      <x:c r="D111" s="14" t="str">
        <x:f aca="0">IFERROR(INDEX(Log!$J:$J,MATCH($A111&amp;"|"&amp;$B111&amp;"|1|"&amp;$C111,Log!$M:$M,0)),"")</x:f>
      </x:c>
      <x:c r="E111" s="14" t="str">
        <x:f aca="0">IFERROR(INDEX(Log!$J:$J,MATCH($A111&amp;"|"&amp;$B111&amp;"|2|"&amp;$C111,Log!$M:$M,0)),"")</x:f>
      </x:c>
      <x:c r="F111" s="14" t="str">
        <x:f aca="0">IFERROR(INDEX(Log!$J:$J,MATCH($A111&amp;"|"&amp;$B111&amp;"|3|"&amp;$C111,Log!$M:$M,0)),"")</x:f>
      </x:c>
      <x:c r="G111" s="14" t="n">
        <x:f aca="0">IF(COUNTIF(D111:F111,"Y")+COUNTIF(D111:F111,"partial")+COUNTIF(D111:F111,"N")=3,1,0)</x:f>
        <x:v>0</x:v>
      </x:c>
      <x:c r="H111" s="14" t="n">
        <x:f aca="0">IF(G111=1,IF(AND(D111=E111,E111=F111),1,0),0)</x:f>
        <x:v>0</x:v>
      </x:c>
    </x:row>
    <x:row r="112" ht="15" hidden="0" customHeight="1">
      <x:c r="A112" s="14" t="str">
        <x:f aca="0">Reference!$B$3</x:f>
        <x:v>RC</x:v>
      </x:c>
      <x:c r="B112" s="14" t="s">
        <x:v>18</x:v>
      </x:c>
      <x:c r="C112" s="15" t="s">
        <x:v>35</x:v>
      </x:c>
      <x:c r="D112" s="14" t="str">
        <x:f aca="0">IFERROR(INDEX(Log!$J:$J,MATCH($A112&amp;"|"&amp;$B112&amp;"|1|"&amp;$C112,Log!$M:$M,0)),"")</x:f>
      </x:c>
      <x:c r="E112" s="14" t="str">
        <x:f aca="0">IFERROR(INDEX(Log!$J:$J,MATCH($A112&amp;"|"&amp;$B112&amp;"|2|"&amp;$C112,Log!$M:$M,0)),"")</x:f>
      </x:c>
      <x:c r="F112" s="14" t="str">
        <x:f aca="0">IFERROR(INDEX(Log!$J:$J,MATCH($A112&amp;"|"&amp;$B112&amp;"|3|"&amp;$C112,Log!$M:$M,0)),"")</x:f>
      </x:c>
      <x:c r="G112" s="14" t="n">
        <x:f aca="0">IF(COUNTIF(D112:F112,"Y")+COUNTIF(D112:F112,"partial")+COUNTIF(D112:F112,"N")=3,1,0)</x:f>
        <x:v>0</x:v>
      </x:c>
      <x:c r="H112" s="14" t="n">
        <x:f aca="0">IF(G112=1,IF(AND(D112=E112,E112=F112),1,0),0)</x:f>
        <x:v>0</x:v>
      </x:c>
    </x:row>
    <x:row r="113" ht="15" hidden="0" customHeight="1">
      <x:c r="A113" s="14" t="str">
        <x:f aca="0">Reference!$B$3</x:f>
        <x:v>RC</x:v>
      </x:c>
      <x:c r="B113" s="14" t="s">
        <x:v>18</x:v>
      </x:c>
      <x:c r="C113" s="15" t="s">
        <x:v>37</x:v>
      </x:c>
      <x:c r="D113" s="14" t="str">
        <x:f aca="0">IFERROR(INDEX(Log!$J:$J,MATCH($A113&amp;"|"&amp;$B113&amp;"|1|"&amp;$C113,Log!$M:$M,0)),"")</x:f>
      </x:c>
      <x:c r="E113" s="14" t="str">
        <x:f aca="0">IFERROR(INDEX(Log!$J:$J,MATCH($A113&amp;"|"&amp;$B113&amp;"|2|"&amp;$C113,Log!$M:$M,0)),"")</x:f>
      </x:c>
      <x:c r="F113" s="14" t="str">
        <x:f aca="0">IFERROR(INDEX(Log!$J:$J,MATCH($A113&amp;"|"&amp;$B113&amp;"|3|"&amp;$C113,Log!$M:$M,0)),"")</x:f>
      </x:c>
      <x:c r="G113" s="14" t="n">
        <x:f aca="0">IF(COUNTIF(D113:F113,"Y")+COUNTIF(D113:F113,"partial")+COUNTIF(D113:F113,"N")=3,1,0)</x:f>
        <x:v>0</x:v>
      </x:c>
      <x:c r="H113" s="14" t="n">
        <x:f aca="0">IF(G113=1,IF(AND(D113=E113,E113=F113),1,0),0)</x:f>
        <x:v>0</x:v>
      </x:c>
    </x:row>
    <x:row r="114" ht="15" hidden="0" customHeight="1">
      <x:c r="A114" s="14" t="str">
        <x:f aca="0">Reference!$B$3</x:f>
        <x:v>RC</x:v>
      </x:c>
      <x:c r="B114" s="14" t="s">
        <x:v>18</x:v>
      </x:c>
      <x:c r="C114" s="15" t="s">
        <x:v>39</x:v>
      </x:c>
      <x:c r="D114" s="14" t="str">
        <x:f aca="0">IFERROR(INDEX(Log!$J:$J,MATCH($A114&amp;"|"&amp;$B114&amp;"|1|"&amp;$C114,Log!$M:$M,0)),"")</x:f>
      </x:c>
      <x:c r="E114" s="14" t="str">
        <x:f aca="0">IFERROR(INDEX(Log!$J:$J,MATCH($A114&amp;"|"&amp;$B114&amp;"|2|"&amp;$C114,Log!$M:$M,0)),"")</x:f>
      </x:c>
      <x:c r="F114" s="14" t="str">
        <x:f aca="0">IFERROR(INDEX(Log!$J:$J,MATCH($A114&amp;"|"&amp;$B114&amp;"|3|"&amp;$C114,Log!$M:$M,0)),"")</x:f>
      </x:c>
      <x:c r="G114" s="14" t="n">
        <x:f aca="0">IF(COUNTIF(D114:F114,"Y")+COUNTIF(D114:F114,"partial")+COUNTIF(D114:F114,"N")=3,1,0)</x:f>
        <x:v>0</x:v>
      </x:c>
      <x:c r="H114" s="14" t="n">
        <x:f aca="0">IF(G114=1,IF(AND(D114=E114,E114=F114),1,0),0)</x:f>
        <x:v>0</x:v>
      </x:c>
    </x:row>
    <x:row r="115" ht="15" hidden="0" customHeight="1">
      <x:c r="A115" s="14" t="str">
        <x:f aca="0">Reference!$B$3</x:f>
        <x:v>RC</x:v>
      </x:c>
      <x:c r="B115" s="14" t="s">
        <x:v>18</x:v>
      </x:c>
      <x:c r="C115" s="15" t="s">
        <x:v>41</x:v>
      </x:c>
      <x:c r="D115" s="14" t="str">
        <x:f aca="0">IFERROR(INDEX(Log!$J:$J,MATCH($A115&amp;"|"&amp;$B115&amp;"|1|"&amp;$C115,Log!$M:$M,0)),"")</x:f>
      </x:c>
      <x:c r="E115" s="14" t="str">
        <x:f aca="0">IFERROR(INDEX(Log!$J:$J,MATCH($A115&amp;"|"&amp;$B115&amp;"|2|"&amp;$C115,Log!$M:$M,0)),"")</x:f>
      </x:c>
      <x:c r="F115" s="14" t="str">
        <x:f aca="0">IFERROR(INDEX(Log!$J:$J,MATCH($A115&amp;"|"&amp;$B115&amp;"|3|"&amp;$C115,Log!$M:$M,0)),"")</x:f>
      </x:c>
      <x:c r="G115" s="14" t="n">
        <x:f aca="0">IF(COUNTIF(D115:F115,"Y")+COUNTIF(D115:F115,"partial")+COUNTIF(D115:F115,"N")=3,1,0)</x:f>
        <x:v>0</x:v>
      </x:c>
      <x:c r="H115" s="14" t="n">
        <x:f aca="0">IF(G115=1,IF(AND(D115=E115,E115=F115),1,0),0)</x:f>
        <x:v>0</x:v>
      </x:c>
    </x:row>
    <x:row r="116" ht="15" hidden="0" customHeight="1">
      <x:c r="A116" s="14" t="str">
        <x:f aca="0">Reference!$B$3</x:f>
        <x:v>RC</x:v>
      </x:c>
      <x:c r="B116" s="14" t="s">
        <x:v>18</x:v>
      </x:c>
      <x:c r="C116" s="15" t="s">
        <x:v>43</x:v>
      </x:c>
      <x:c r="D116" s="14" t="str">
        <x:f aca="0">IFERROR(INDEX(Log!$J:$J,MATCH($A116&amp;"|"&amp;$B116&amp;"|1|"&amp;$C116,Log!$M:$M,0)),"")</x:f>
      </x:c>
      <x:c r="E116" s="14" t="str">
        <x:f aca="0">IFERROR(INDEX(Log!$J:$J,MATCH($A116&amp;"|"&amp;$B116&amp;"|2|"&amp;$C116,Log!$M:$M,0)),"")</x:f>
      </x:c>
      <x:c r="F116" s="14" t="str">
        <x:f aca="0">IFERROR(INDEX(Log!$J:$J,MATCH($A116&amp;"|"&amp;$B116&amp;"|3|"&amp;$C116,Log!$M:$M,0)),"")</x:f>
      </x:c>
      <x:c r="G116" s="14" t="n">
        <x:f aca="0">IF(COUNTIF(D116:F116,"Y")+COUNTIF(D116:F116,"partial")+COUNTIF(D116:F116,"N")=3,1,0)</x:f>
        <x:v>0</x:v>
      </x:c>
      <x:c r="H116" s="14" t="n">
        <x:f aca="0">IF(G116=1,IF(AND(D116=E116,E116=F116),1,0),0)</x:f>
        <x:v>0</x:v>
      </x:c>
    </x:row>
    <x:row r="117" ht="15" hidden="0" customHeight="1">
      <x:c r="A117" s="14" t="str">
        <x:f aca="0">Reference!$B$3</x:f>
        <x:v>RC</x:v>
      </x:c>
      <x:c r="B117" s="14" t="s">
        <x:v>18</x:v>
      </x:c>
      <x:c r="C117" s="15" t="s">
        <x:v>45</x:v>
      </x:c>
      <x:c r="D117" s="14" t="str">
        <x:f aca="0">IFERROR(INDEX(Log!$J:$J,MATCH($A117&amp;"|"&amp;$B117&amp;"|1|"&amp;$C117,Log!$M:$M,0)),"")</x:f>
      </x:c>
      <x:c r="E117" s="14" t="str">
        <x:f aca="0">IFERROR(INDEX(Log!$J:$J,MATCH($A117&amp;"|"&amp;$B117&amp;"|2|"&amp;$C117,Log!$M:$M,0)),"")</x:f>
      </x:c>
      <x:c r="F117" s="14" t="str">
        <x:f aca="0">IFERROR(INDEX(Log!$J:$J,MATCH($A117&amp;"|"&amp;$B117&amp;"|3|"&amp;$C117,Log!$M:$M,0)),"")</x:f>
      </x:c>
      <x:c r="G117" s="14" t="n">
        <x:f aca="0">IF(COUNTIF(D117:F117,"Y")+COUNTIF(D117:F117,"partial")+COUNTIF(D117:F117,"N")=3,1,0)</x:f>
        <x:v>0</x:v>
      </x:c>
      <x:c r="H117" s="14" t="n">
        <x:f aca="0">IF(G117=1,IF(AND(D117=E117,E117=F117),1,0),0)</x:f>
        <x:v>0</x:v>
      </x:c>
    </x:row>
    <x:row r="118" ht="15" hidden="0" customHeight="1">
      <x:c r="A118" s="14" t="str">
        <x:f aca="0">Reference!$B$3</x:f>
        <x:v>RC</x:v>
      </x:c>
      <x:c r="B118" s="14" t="s">
        <x:v>18</x:v>
      </x:c>
      <x:c r="C118" s="15" t="s">
        <x:v>47</x:v>
      </x:c>
      <x:c r="D118" s="14" t="str">
        <x:f aca="0">IFERROR(INDEX(Log!$J:$J,MATCH($A118&amp;"|"&amp;$B118&amp;"|1|"&amp;$C118,Log!$M:$M,0)),"")</x:f>
      </x:c>
      <x:c r="E118" s="14" t="str">
        <x:f aca="0">IFERROR(INDEX(Log!$J:$J,MATCH($A118&amp;"|"&amp;$B118&amp;"|2|"&amp;$C118,Log!$M:$M,0)),"")</x:f>
      </x:c>
      <x:c r="F118" s="14" t="str">
        <x:f aca="0">IFERROR(INDEX(Log!$J:$J,MATCH($A118&amp;"|"&amp;$B118&amp;"|3|"&amp;$C118,Log!$M:$M,0)),"")</x:f>
      </x:c>
      <x:c r="G118" s="14" t="n">
        <x:f aca="0">IF(COUNTIF(D118:F118,"Y")+COUNTIF(D118:F118,"partial")+COUNTIF(D118:F118,"N")=3,1,0)</x:f>
        <x:v>0</x:v>
      </x:c>
      <x:c r="H118" s="14" t="n">
        <x:f aca="0">IF(G118=1,IF(AND(D118=E118,E118=F118),1,0),0)</x:f>
        <x:v>0</x:v>
      </x:c>
    </x:row>
    <x:row r="119" ht="15" hidden="0" customHeight="1">
      <x:c r="A119" s="14" t="str">
        <x:f aca="0">Reference!$B$3</x:f>
        <x:v>RC</x:v>
      </x:c>
      <x:c r="B119" s="14" t="s">
        <x:v>18</x:v>
      </x:c>
      <x:c r="C119" s="15" t="s">
        <x:v>49</x:v>
      </x:c>
      <x:c r="D119" s="14" t="str">
        <x:f aca="0">IFERROR(INDEX(Log!$J:$J,MATCH($A119&amp;"|"&amp;$B119&amp;"|1|"&amp;$C119,Log!$M:$M,0)),"")</x:f>
      </x:c>
      <x:c r="E119" s="14" t="str">
        <x:f aca="0">IFERROR(INDEX(Log!$J:$J,MATCH($A119&amp;"|"&amp;$B119&amp;"|2|"&amp;$C119,Log!$M:$M,0)),"")</x:f>
      </x:c>
      <x:c r="F119" s="14" t="str">
        <x:f aca="0">IFERROR(INDEX(Log!$J:$J,MATCH($A119&amp;"|"&amp;$B119&amp;"|3|"&amp;$C119,Log!$M:$M,0)),"")</x:f>
      </x:c>
      <x:c r="G119" s="14" t="n">
        <x:f aca="0">IF(COUNTIF(D119:F119,"Y")+COUNTIF(D119:F119,"partial")+COUNTIF(D119:F119,"N")=3,1,0)</x:f>
        <x:v>0</x:v>
      </x:c>
      <x:c r="H119" s="14" t="n">
        <x:f aca="0">IF(G119=1,IF(AND(D119=E119,E119=F119),1,0),0)</x:f>
        <x:v>0</x:v>
      </x:c>
    </x:row>
    <x:row r="120" ht="15" hidden="0" customHeight="1">
      <x:c r="A120" s="14" t="str">
        <x:f aca="0">Reference!$B$3</x:f>
        <x:v>RC</x:v>
      </x:c>
      <x:c r="B120" s="14" t="s">
        <x:v>18</x:v>
      </x:c>
      <x:c r="C120" s="15" t="s">
        <x:v>51</x:v>
      </x:c>
      <x:c r="D120" s="14" t="str">
        <x:f aca="0">IFERROR(INDEX(Log!$J:$J,MATCH($A120&amp;"|"&amp;$B120&amp;"|1|"&amp;$C120,Log!$M:$M,0)),"")</x:f>
      </x:c>
      <x:c r="E120" s="14" t="str">
        <x:f aca="0">IFERROR(INDEX(Log!$J:$J,MATCH($A120&amp;"|"&amp;$B120&amp;"|2|"&amp;$C120,Log!$M:$M,0)),"")</x:f>
      </x:c>
      <x:c r="F120" s="14" t="str">
        <x:f aca="0">IFERROR(INDEX(Log!$J:$J,MATCH($A120&amp;"|"&amp;$B120&amp;"|3|"&amp;$C120,Log!$M:$M,0)),"")</x:f>
      </x:c>
      <x:c r="G120" s="14" t="n">
        <x:f aca="0">IF(COUNTIF(D120:F120,"Y")+COUNTIF(D120:F120,"partial")+COUNTIF(D120:F120,"N")=3,1,0)</x:f>
        <x:v>0</x:v>
      </x:c>
      <x:c r="H120" s="14" t="n">
        <x:f aca="0">IF(G120=1,IF(AND(D120=E120,E120=F120),1,0),0)</x:f>
        <x:v>0</x:v>
      </x:c>
    </x:row>
    <x:row r="121" ht="15" hidden="0" customHeight="1">
      <x:c r="A121" s="14" t="str">
        <x:f aca="0">Reference!$B$3</x:f>
        <x:v>RC</x:v>
      </x:c>
      <x:c r="B121" s="14" t="s">
        <x:v>18</x:v>
      </x:c>
      <x:c r="C121" s="15" t="s">
        <x:v>53</x:v>
      </x:c>
      <x:c r="D121" s="14" t="str">
        <x:f aca="0">IFERROR(INDEX(Log!$J:$J,MATCH($A121&amp;"|"&amp;$B121&amp;"|1|"&amp;$C121,Log!$M:$M,0)),"")</x:f>
      </x:c>
      <x:c r="E121" s="14" t="str">
        <x:f aca="0">IFERROR(INDEX(Log!$J:$J,MATCH($A121&amp;"|"&amp;$B121&amp;"|2|"&amp;$C121,Log!$M:$M,0)),"")</x:f>
      </x:c>
      <x:c r="F121" s="14" t="str">
        <x:f aca="0">IFERROR(INDEX(Log!$J:$J,MATCH($A121&amp;"|"&amp;$B121&amp;"|3|"&amp;$C121,Log!$M:$M,0)),"")</x:f>
      </x:c>
      <x:c r="G121" s="14" t="n">
        <x:f aca="0">IF(COUNTIF(D121:F121,"Y")+COUNTIF(D121:F121,"partial")+COUNTIF(D121:F121,"N")=3,1,0)</x:f>
        <x:v>0</x:v>
      </x:c>
      <x:c r="H121" s="14" t="n">
        <x:f aca="0">IF(G121=1,IF(AND(D121=E121,E121=F121),1,0),0)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style="1" hidden="0" customWidth="1"/>
    <x:col min="2" max="2" width="60" style="1" hidden="0" customWidth="1"/>
  </x:cols>
  <x:sheetData>
    <x:row r="1" ht="15.75" hidden="0" customHeight="1">
      <x:c r="A1" s="16" t="s">
        <x:v>63</x:v>
      </x:c>
    </x:row>
    <x:row r="2" ht="15" hidden="0">
      <x:c r="A2" s="17" t="s">
        <x:v>64</x:v>
      </x:c>
      <x:c r="B2" s="18" t="s">
        <x:v>65</x:v>
      </x:c>
    </x:row>
    <x:row r="3" ht="16.5" hidden="0" customHeight="1">
      <x:c r="A3" s="19" t="s">
        <x:v>66</x:v>
      </x:c>
      <x:c r="B3" s="20" t="s">
        <x:v>67</x:v>
      </x:c>
    </x:row>
    <x:row r="4" ht="15" hidden="0" customHeight="1">
      <x:c r="A4" s="21" t="s">
        <x:v>68</x:v>
      </x:c>
    </x:row>
    <x:row r="6" ht="15" hidden="0" customHeight="1">
      <x:c r="A6" s="7" t="s">
        <x:v>69</x:v>
      </x:c>
    </x:row>
    <x:row r="7" ht="15" hidden="0" customHeight="1">
      <x:c r="A7" s="14" t="s">
        <x:v>70</x:v>
      </x:c>
    </x:row>
    <x:row r="8" ht="15" hidden="0" customHeight="1">
      <x:c r="A8" s="14" t="str">
        <x:v>2. pass 判定：Y = actual 与 expected 完全一致；partial = 部分识别；N = 自动填充为空或错误；NA = 手动填写或候选人页不展示，无法归因/观察 parser。NA 不进入一致率技术门。</x:v>
      </x:c>
    </x:row>
    <x:row r="9" ht="15" hidden="0" customHeight="1">
      <x:c r="A9" s="14" t="s">
        <x:v>71</x:v>
      </x:c>
    </x:row>
    <x:row r="10" ht="15" hidden="0" customHeight="1">
      <x:c r="A10" s="14" t="s">
        <x:v>72</x:v>
      </x:c>
    </x:row>
    <x:row r="11" ht="15" hidden="0" customHeight="1">
      <x:c r="A11" s="14" t="s">
        <x:v>73</x:v>
      </x:c>
    </x:row>
    <x:row r="12" ht="15" hidden="0" customHeight="1">
      <x:c r="A12" s="14" t="s">
        <x:v>74</x:v>
      </x:c>
    </x:row>
    <x:row r="15" ht="16.5" hidden="0" customHeight="1">
      <x:c r="A15" s="7" t="s">
        <x:v>75</x:v>
      </x:c>
    </x:row>
    <x:row r="16" ht="15" hidden="0" customHeight="1">
      <x:c r="A16" s="13" t="s">
        <x:v>22</x:v>
      </x:c>
      <x:c r="B16" s="13" t="s">
        <x:v>23</x:v>
      </x:c>
      <x:c r="C16" s="13" t="s">
        <x:v>24</x:v>
      </x:c>
      <x:c r="D16" s="13" t="s">
        <x:v>25</x:v>
      </x:c>
      <x:c r="E16" s="13" t="s">
        <x:v>26</x:v>
      </x:c>
      <x:c r="F16" s="13" t="s">
        <x:v>27</x:v>
      </x:c>
      <x:c r="G16" s="13" t="s">
        <x:v>28</x:v>
      </x:c>
      <x:c r="H16" s="13" t="s">
        <x:v>29</x:v>
      </x:c>
      <x:c r="I16" s="13" t="s">
        <x:v>30</x:v>
      </x:c>
      <x:c r="J16" s="13" t="s">
        <x:v>31</x:v>
      </x:c>
      <x:c r="K16" s="13" t="s">
        <x:v>32</x:v>
      </x:c>
      <x:c r="L16" s="13" t="s">
        <x:v>33</x:v>
      </x:c>
    </x:row>
    <x:row r="17" ht="15" hidden="0" customHeight="1">
      <x:c r="A17" s="22" t="s">
        <x:v>76</x:v>
      </x:c>
      <x:c r="B17" s="22" t="s">
        <x:v>77</x:v>
      </x:c>
      <x:c r="C17" s="22" t="s">
        <x:v>62</x:v>
      </x:c>
      <x:c r="D17" s="22" t="s">
        <x:v>78</x:v>
      </x:c>
      <x:c r="E17" s="22" t="s">
        <x:v>12</x:v>
      </x:c>
      <x:c r="F17" s="22" t="s">
        <x:v>48</x:v>
      </x:c>
      <x:c r="G17" s="23" t="s">
        <x:v>53</x:v>
      </x:c>
      <x:c r="H17" s="22" t="s">
        <x:v>54</x:v>
      </x:c>
      <x:c r="I17" s="22" t="s">
        <x:v>79</x:v>
      </x:c>
      <x:c r="J17" s="22" t="s">
        <x:v>80</x:v>
      </x:c>
      <x:c r="K17" s="22" t="s">
        <x:v>81</x:v>
      </x:c>
      <x:c r="L17" s="23" t="s">
        <x:v>82</x:v>
      </x:c>
    </x:row>
    <x:row r="20" ht="16.5" hidden="0" customHeight="1">
      <x:c r="A20" s="7" t="s">
        <x:v>83</x:v>
      </x:c>
    </x:row>
    <x:row r="21" ht="15" hidden="0" customHeight="1">
      <x:c r="A21" s="13" t="s">
        <x:v>28</x:v>
      </x:c>
      <x:c r="B21" s="13" t="s">
        <x:v>29</x:v>
      </x:c>
    </x:row>
    <x:row r="22" ht="15" hidden="0" customHeight="1">
      <x:c r="A22" s="15" t="s">
        <x:v>35</x:v>
      </x:c>
      <x:c r="B22" s="14" t="s">
        <x:v>36</x:v>
      </x:c>
    </x:row>
    <x:row r="23" ht="15" hidden="0" customHeight="1">
      <x:c r="A23" s="15" t="s">
        <x:v>37</x:v>
      </x:c>
      <x:c r="B23" s="14" t="s">
        <x:v>38</x:v>
      </x:c>
    </x:row>
    <x:row r="24" ht="15" hidden="0" customHeight="1">
      <x:c r="A24" s="15" t="s">
        <x:v>39</x:v>
      </x:c>
      <x:c r="B24" s="14" t="s">
        <x:v>40</x:v>
      </x:c>
    </x:row>
    <x:row r="25" ht="15" hidden="0" customHeight="1">
      <x:c r="A25" s="15" t="s">
        <x:v>41</x:v>
      </x:c>
      <x:c r="B25" s="14" t="s">
        <x:v>42</x:v>
      </x:c>
    </x:row>
    <x:row r="26" ht="15" hidden="0" customHeight="1">
      <x:c r="A26" s="15" t="s">
        <x:v>43</x:v>
      </x:c>
      <x:c r="B26" s="14" t="s">
        <x:v>44</x:v>
      </x:c>
    </x:row>
    <x:row r="27" ht="15" hidden="0" customHeight="1">
      <x:c r="A27" s="15" t="s">
        <x:v>45</x:v>
      </x:c>
      <x:c r="B27" s="14" t="s">
        <x:v>46</x:v>
      </x:c>
    </x:row>
    <x:row r="28" ht="15" hidden="0" customHeight="1">
      <x:c r="A28" s="15" t="s">
        <x:v>47</x:v>
      </x:c>
      <x:c r="B28" s="14" t="s">
        <x:v>48</x:v>
      </x:c>
    </x:row>
    <x:row r="29" ht="15" hidden="0" customHeight="1">
      <x:c r="A29" s="15" t="s">
        <x:v>49</x:v>
      </x:c>
      <x:c r="B29" s="14" t="s">
        <x:v>50</x:v>
      </x:c>
    </x:row>
    <x:row r="30" ht="15" hidden="0" customHeight="1">
      <x:c r="A30" s="15" t="s">
        <x:v>51</x:v>
      </x:c>
      <x:c r="B30" s="14" t="s">
        <x:v>52</x:v>
      </x:c>
    </x:row>
    <x:row r="31" ht="15" hidden="0" customHeight="1">
      <x:c r="A31" s="15" t="s">
        <x:v>53</x:v>
      </x:c>
      <x:c r="B31" s="14" t="s">
        <x:v>54</x:v>
      </x:c>
    </x:row>
    <x:row r="34" ht="15" hidden="0" customHeight="1">
      <x:c r="A34" s="7" t="s">
        <x:v>84</x:v>
      </x:c>
    </x:row>
    <x:row r="35" ht="15" hidden="0" customHeight="1">
      <x:c r="A35" s="24" t="s">
        <x:v>8</x:v>
      </x:c>
      <x:c r="B35" s="15" t="s">
        <x:v>85</x:v>
      </x:c>
    </x:row>
    <x:row r="36" ht="15" hidden="0" customHeight="1">
      <x:c r="A36" s="24" t="s">
        <x:v>10</x:v>
      </x:c>
      <x:c r="B36" s="15" t="s">
        <x:v>86</x:v>
      </x:c>
    </x:row>
    <x:row r="37" ht="15" hidden="0" customHeight="1">
      <x:c r="A37" s="24" t="s">
        <x:v>12</x:v>
      </x:c>
      <x:c r="B37" s="15" t="s">
        <x:v>87</x:v>
      </x:c>
    </x:row>
    <x:row r="38" ht="15" hidden="0" customHeight="1">
      <x:c r="A38" s="24" t="s">
        <x:v>14</x:v>
      </x:c>
      <x:c r="B38" s="15" t="s">
        <x:v>88</x:v>
      </x:c>
    </x:row>
    <x:row r="39" ht="15" hidden="0" customHeight="1">
      <x:c r="A39" s="24" t="s">
        <x:v>16</x:v>
      </x:c>
      <x:c r="B39" s="15" t="s">
        <x:v>89</x:v>
      </x:c>
    </x:row>
    <x:row r="40" ht="15" hidden="0" customHeight="1">
      <x:c r="A40" s="24" t="s">
        <x:v>18</x:v>
      </x:c>
      <x:c r="B40" s="15" t="s">
        <x:v>90</x:v>
      </x:c>
    </x:row>
  </x:sheetData>
  <x:dataValidations count="1">
    <x:dataValidation type="list" errorStyle="stop" operator="between" allowBlank="0" showDropDown="0" showInputMessage="0" showErrorMessage="0" sqref="B2:B3">
      <x:formula1>"GH,LV,WK,RC,MN,ZR"</x:formula1>
      <x:formula2>0</x:formula2>
    </x:dataValidation>
  </x:dataValidations>
  <x:pageMargins left="0.7" right="0.7" top="0.75" bottom="0.75" header="0.3" footer="0.3"/>
</x:worksheet>
</file>