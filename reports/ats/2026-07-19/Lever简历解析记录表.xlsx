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cc636a7bd240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概览" sheetId="1" r:id="R788ed671bc7e47b1"/>
    <x:sheet xmlns:r="http://schemas.openxmlformats.org/officeDocument/2006/relationships" name="字段解析明细" sheetId="2" r:id="R60340d26599d4d53"/>
    <x:sheet xmlns:r="http://schemas.openxmlformats.org/officeDocument/2006/relationships" name="PDF测试明细" sheetId="3" r:id="Ra566180c11e844da"/>
    <x:sheet xmlns:r="http://schemas.openxmlformats.org/officeDocument/2006/relationships" name="简历字段覆盖对比" sheetId="4" r:id="Rbc56dd98032d424e"/>
  </x:sheets>
</x:workbook>
</file>

<file path=xl/comments1.xml><?xml version="1.0" encoding="utf-8"?>
<x:comments xmlns:x="http://schemas.openxmlformats.org/spreadsheetml/2006/main">
  <x:authors>
    <x:author>tc={73232811-B422-2516-C62D-E4B960464A53}</x:author>
  </x:authors>
  <x:commentList>
    <x:comment ref="D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页面显示的电话号码已被 Lever 标准化为仅保留国家码和数字。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7F6000"/>
      <x:name val="Carlito"/>
    </x:font>
    <x:font>
      <x:b/>
      <x:sz val="16"/>
      <x:color rgb="FFFFFFFF"/>
      <x:name val="Carlito"/>
    </x:font>
    <x:font>
      <x:b/>
      <x:sz val="11"/>
      <x:color rgb="FF375623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EAF2F8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4472C4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9EADBA"/>
      </x:left>
      <x:top style="thin">
        <x:color rgb="FF9EADBA"/>
      </x:top>
    </x:border>
    <x:border>
      <x:right style="thin">
        <x:color rgb="FF9EADBA"/>
      </x:right>
      <x:top style="thin">
        <x:color rgb="FF9EADBA"/>
      </x:top>
    </x:border>
    <x:border>
      <x:left style="thin">
        <x:color rgb="FF9EADBA"/>
      </x:left>
    </x:border>
    <x:border>
      <x:right style="thin">
        <x:color rgb="FF9EADBA"/>
      </x:right>
    </x:border>
    <x:border>
      <x:left style="thin">
        <x:color rgb="FF9EADBA"/>
      </x:left>
      <x:bottom style="thin">
        <x:color rgb="FF9EADBA"/>
      </x:bottom>
    </x:border>
    <x:border>
      <x:right style="thin">
        <x:color rgb="FF9EADBA"/>
      </x:right>
      <x:bottom style="thin">
        <x:color rgb="FF9EADBA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4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201" fontId="0" fillId="0" borderId="0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4" fillId="5" borderId="9" xfId="0" applyNumberFormat="1" applyFont="1" applyFill="1" applyBorder="1"/>
    <x:xf numFmtId="0" fontId="0" fillId="0" borderId="10" xfId="0" applyNumberFormat="1" applyFont="1" applyFill="1" applyBorder="1"/>
    <x:xf numFmtId="201" fontId="0" fillId="0" borderId="10" xfId="0" applyNumberFormat="1" applyFont="1" applyFill="1" applyBorder="1"/>
    <x:xf numFmtId="0" fontId="4" fillId="5" borderId="11" xfId="0" applyNumberFormat="1" applyFont="1" applyFill="1" applyBorder="1"/>
    <x:xf numFmtId="0" fontId="0" fillId="0" borderId="12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14" xfId="0" applyNumberFormat="1" applyFont="1" applyFill="1" applyBorder="1"/>
    <x:xf numFmtId="0" fontId="0" fillId="0" borderId="5" xfId="0" applyNumberFormat="1" applyFont="1" applyFill="1" applyBorder="1"/>
    <x:xf numFmtId="0" fontId="0" fillId="0" borderId="15" xfId="0" applyNumberFormat="1" applyFont="1" applyFill="1" applyBorder="1"/>
    <x:xf numFmtId="0" fontId="0" fillId="0" borderId="3" xfId="0" applyNumberFormat="1" applyFont="1" applyFill="1" applyBorder="1" applyAlignment="1">
      <x:alignment horizontal="center"/>
    </x:xf>
    <x:xf numFmtId="0" fontId="0" fillId="0" borderId="5" xfId="0" applyNumberFormat="1" applyFont="1" applyFill="1" applyBorder="1" applyAlignment="1">
      <x:alignment horizontal="center"/>
    </x:xf>
    <x:xf numFmtId="0" fontId="0" fillId="0" borderId="1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1" xfId="0" applyNumberFormat="1" applyFont="1" applyFill="1" applyBorder="1" applyAlignment="1">
      <x:alignment wrapText="1"/>
    </x:xf>
    <x:xf numFmtId="0" fontId="3" fillId="10" borderId="13" xfId="0" applyNumberFormat="1" applyFont="1" applyFill="1" applyBorder="1" applyAlignment="1">
      <x:alignment wrapText="1"/>
    </x:xf>
    <x:xf numFmtId="0" fontId="3" fillId="1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C00000"/>
      </x:font>
      <x:fill>
        <x:patternFill>
          <x:bgColor rgb="FFFCE4D6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color rgb="FF595959"/>
      </x:font>
      <x:fill>
        <x:patternFill>
          <x:bgColor rgb="FFE7E6E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4d709f0f314346" /><Relationship Type="http://schemas.openxmlformats.org/officeDocument/2006/relationships/theme" Target="/xl/theme/theme1.xml" Id="R2058dfa392214ea8" /><Relationship Type="http://schemas.openxmlformats.org/officeDocument/2006/relationships/sharedStrings" Target="/xl/sharedStrings.xml" Id="Rbf75aeedac464aad" /><Relationship Type="http://schemas.openxmlformats.org/officeDocument/2006/relationships/worksheet" Target="/xl/worksheets/sheet1.xml" Id="R788ed671bc7e47b1" /><Relationship Type="http://schemas.openxmlformats.org/officeDocument/2006/relationships/worksheet" Target="/xl/worksheets/sheet2.xml" Id="R60340d26599d4d53" /><Relationship Type="http://schemas.openxmlformats.org/officeDocument/2006/relationships/worksheet" Target="/xl/worksheets/sheet3.xml" Id="Ra566180c11e844da" /><Relationship Type="http://schemas.openxmlformats.org/officeDocument/2006/relationships/worksheet" Target="/xl/worksheets/sheet4.xml" Id="Rbc56dd98032d424e" /><Relationship Type="http://schemas.microsoft.com/office/2017/10/relationships/person" Target="/xl/persons/person.xml" Id="R9b703d919869421b" /></Relationships>
</file>

<file path=xl/persons/person.xml><?xml version="1.0" encoding="utf-8"?>
<xltc:personList xmlns:xltc="http://schemas.microsoft.com/office/spreadsheetml/2018/threadedcomments">
  <xltc:person displayName="User" id="{71CC8D89-1B43-413D-9D7B-F795BFE85C1B}"/>
</xltc:personList>
</file>

<file path=xl/tables/table1.xml><?xml version="1.0" encoding="utf-8"?>
<x:table xmlns:x="http://schemas.openxmlformats.org/spreadsheetml/2006/main" id="1" name="LeverParseDetail" displayName="LeverParseDetail" ref="A3:G17" headerRowCount="1" totalsRowCount="0" totalsRowShown="0">
  <x:tableColumns count="7">
    <x:tableColumn id="1" name="序号"/>
    <x:tableColumn id="2" name="申请表字段"/>
    <x:tableColumn id="3" name="简历中的预期内容"/>
    <x:tableColumn id="4" name="Lever 显示结果"/>
    <x:tableColumn id="5" name="判定"/>
    <x:tableColumn id="6" name="字段类别"/>
    <x:tableColumn id="7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everPdfParseDetail" displayName="LeverPdfParseDetail" ref="A3:G17" headerRowCount="1" totalsRowCount="0" totalsRowShown="0">
  <x:tableColumns count="7">
    <x:tableColumn id="1" name="序号"/>
    <x:tableColumn id="2" name="申请表字段"/>
    <x:tableColumn id="3" name="简历中的预期内容"/>
    <x:tableColumn id="4" name="Lever 显示结果"/>
    <x:tableColumn id="5" name="判定"/>
    <x:tableColumn id="6" name="字段类别"/>
    <x:tableColumn id="7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umeCoverageComparison" displayName="ResumeCoverageComparison" ref="A4:F19" headerRowCount="1" totalsRowCount="0" totalsRowShown="0">
  <x:tableColumns count="6">
    <x:tableColumn id="1" name="简历内容类别"/>
    <x:tableColumn id="2" name="简历包含内容"/>
    <x:tableColumn id="3" name="Lever 页面对应字段"/>
    <x:tableColumn id="4" name="页面结果"/>
    <x:tableColumn id="5" name="结论"/>
    <x:tableColumn id="6" name="风险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D7" dT="2026-07-19T07:10:39.425" personId="{71CC8D89-1B43-413D-9D7B-F795BFE85C1B}" id="{73232811-B422-2516-C62D-E4B960464A53}">
    <xltc:text>页面显示的电话号码已被 Lever 标准化为仅保留国家码和数字。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ba841181778f4c20" /><Relationship Type="http://schemas.openxmlformats.org/officeDocument/2006/relationships/vmlDrawing" Target="/xl/drawings/vmldrawing.vml" Id="R16d3e99ce4dd429b" /><Relationship Type="http://schemas.microsoft.com/office/2017/10/relationships/threadedComment" Target="/xl/threadedcomments/threadedcomment.xml" Id="R86aaf112ed1e4255" /><Relationship Type="http://schemas.openxmlformats.org/officeDocument/2006/relationships/table" Target="/xl/tables/table1.xml" Id="Rec88f51c216d45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2c160e274f41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a4505c1e5b40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0" hidden="0" customWidth="1"/>
    <x:col min="3" max="3" width="3" hidden="0" customWidth="1"/>
    <x:col min="4" max="4" width="21" hidden="0" customWidth="1"/>
    <x:col min="5" max="5" width="16" hidden="0" customWidth="1"/>
    <x:col min="6" max="6" width="3" hidden="0" customWidth="1"/>
  </x:cols>
  <x:sheetData>
    <x:row r="1" ht="34" customHeight="1">
      <x:c r="A1" s="3" t="str">
        <x:v>Lever 简历解析测试记录</x:v>
      </x:c>
      <x:c r="B1" s="3"/>
      <x:c r="C1" s="3"/>
      <x:c r="D1" s="3"/>
      <x:c r="E1" s="3"/>
      <x:c r="F1" s="3"/>
    </x:row>
    <x:row r="3">
      <x:c r="A3" s="6" t="str">
        <x:v>测试平台</x:v>
      </x:c>
      <x:c r="B3" s="7" t="str">
        <x:v>Lever</x:v>
      </x:c>
      <x:c r="D3" s="18" t="str">
        <x:v>关键指标</x:v>
      </x:c>
      <x:c r="E3" s="19" t="str">
        <x:v>结果</x:v>
      </x:c>
    </x:row>
    <x:row r="4">
      <x:c r="A4" s="8" t="str">
        <x:v>公司 / 职位</x:v>
      </x:c>
      <x:c r="B4" s="9" t="str">
        <x:v>Best Egg / Sr. Product Operations Manager</x:v>
      </x:c>
      <x:c r="D4" s="20" t="str">
        <x:v>两批次字段记录</x:v>
      </x:c>
      <x:c r="E4" s="21" t="n">
        <x:f>COUNTA('字段解析明细'!A4:A17)+COUNTA('PDF测试明细'!A4:A17)</x:f>
        <x:v>28</x:v>
      </x:c>
    </x:row>
    <x:row r="5">
      <x:c r="A5" s="8" t="str">
        <x:v>测试网址</x:v>
      </x:c>
      <x:c r="B5" s="9" t="str">
        <x:v>https://jobs.lever.co/BestEgg/7d7788e2-7c6e-48ef-9b4c-2c8094887e79/apply</x:v>
      </x:c>
      <x:c r="D5" s="20" t="str">
        <x:v>成功解析</x:v>
      </x:c>
      <x:c r="E5" s="21" t="n">
        <x:f>COUNTIF('字段解析明细'!E4:E17,"成功解析")+COUNTIF('PDF测试明细'!E4:E17,"成功解析")</x:f>
        <x:v>14</x:v>
      </x:c>
    </x:row>
    <x:row r="6">
      <x:c r="A6" s="8" t="str">
        <x:v>简历格式</x:v>
      </x:c>
      <x:c r="B6" s="9" t="str">
        <x:v>DOCX、文本型 PDF</x:v>
      </x:c>
      <x:c r="D6" s="20" t="str">
        <x:v>成功解析占比</x:v>
      </x:c>
      <x:c r="E6" s="22" t="n">
        <x:f>IFERROR(E5/E4,0)</x:f>
        <x:v>0.5</x:v>
      </x:c>
    </x:row>
    <x:row r="7">
      <x:c r="A7" s="8" t="str">
        <x:v>测试文件</x:v>
      </x:c>
      <x:c r="B7" s="9" t="str">
        <x:v>jane-lin-ats-test-resume.docx；jane-lin-ats-test-resume.pdf</x:v>
      </x:c>
      <x:c r="D7" s="20" t="str">
        <x:v>未解析/空白</x:v>
      </x:c>
      <x:c r="E7" s="21" t="n">
        <x:f>COUNTIF('字段解析明细'!E4:E17,"未解析/空白")+COUNTIF('PDF测试明细'!E4:E17,"未解析/空白")</x:f>
        <x:v>0</x:v>
      </x:c>
    </x:row>
    <x:row r="8">
      <x:c r="A8" s="8" t="str">
        <x:v>上传状态</x:v>
      </x:c>
      <x:c r="B8" s="9" t="str">
        <x:v>两种格式均 Success</x:v>
      </x:c>
      <x:c r="D8" s="23" t="str">
        <x:v>页面未展示/无法评估</x:v>
      </x:c>
      <x:c r="E8" s="24" t="n">
        <x:f>COUNTIF('字段解析明细'!E4:E17,"无法评估")+COUNTIF('PDF测试明细'!E4:E17,"无法评估")</x:f>
        <x:v>14</x:v>
      </x:c>
    </x:row>
    <x:row r="9">
      <x:c r="A9" s="8" t="str">
        <x:v>测试日期</x:v>
      </x:c>
      <x:c r="B9" s="12" t="n">
        <x:v>46222</x:v>
      </x:c>
    </x:row>
    <x:row r="10">
      <x:c r="A10" s="10" t="str">
        <x:v>数据说明</x:v>
      </x:c>
      <x:c r="B10" s="11" t="str">
        <x:v>Jane Lin 为虚构 ATS 测试资料；未提交真实求职申请</x:v>
      </x:c>
    </x:row>
    <x:row r="12" ht="36" customHeight="1">
      <x:c r="A12" s="43" t="str">
        <x:v>结论：DOCX 与文本型 PDF 均上传成功，并正确预填姓名、邮箱、电话、当前位置、当前公司和 LinkedIn。PDF 当前页面使用 jane-lin-ats-test-resume.pdf。简历中的当前职位名称、完整工作经历、职业摘要、教育、技能和证书在 Lever 表单中没有对应展示字段，因此无法确认是否被后台解析；这不等同于解析失败。</x:v>
      </x:c>
      <x:c r="B12" s="43"/>
      <x:c r="C12" s="43"/>
      <x:c r="D12" s="43"/>
      <x:c r="E12" s="43"/>
      <x:c r="F12" s="43"/>
    </x:row>
    <x:row r="13" ht="36" customHeight="1">
      <x:c r="A13" s="43"/>
      <x:c r="B13" s="43"/>
      <x:c r="C13" s="43"/>
      <x:c r="D13" s="43"/>
      <x:c r="E13" s="43"/>
      <x:c r="F13" s="43"/>
    </x:row>
  </x:sheetData>
  <x:mergeCells>
    <x:mergeCell ref="A1:F1"/>
    <x:mergeCell ref="A12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40" hidden="0" customWidth="1"/>
    <x:col min="5" max="5" width="16" hidden="0" customWidth="1"/>
    <x:col min="6" max="6" width="18" hidden="0" customWidth="1"/>
    <x:col min="7" max="7" width="38" hidden="0" customWidth="1"/>
  </x:cols>
  <x:sheetData>
    <x:row r="1">
      <x:c r="A1" s="28" t="str">
        <x:v>Lever DOCX 字段解析明细</x:v>
      </x:c>
      <x:c r="B1" s="28"/>
      <x:c r="C1" s="28"/>
      <x:c r="D1" s="28"/>
      <x:c r="E1" s="28"/>
      <x:c r="F1" s="28"/>
      <x:c r="G1" s="28"/>
    </x:row>
    <x:row r="3">
      <x:c r="A3" s="30" t="str">
        <x:v>序号</x:v>
      </x:c>
      <x:c r="B3" s="31" t="str">
        <x:v>申请表字段</x:v>
      </x:c>
      <x:c r="C3" s="31" t="str">
        <x:v>简历中的预期内容</x:v>
      </x:c>
      <x:c r="D3" s="31" t="str">
        <x:v>Lever 显示结果</x:v>
      </x:c>
      <x:c r="E3" s="31" t="str">
        <x:v>判定</x:v>
      </x:c>
      <x:c r="F3" s="31" t="str">
        <x:v>字段类别</x:v>
      </x:c>
      <x:c r="G3" s="32" t="str">
        <x:v>备注</x:v>
      </x:c>
    </x:row>
    <x:row r="4" ht="34" customHeight="1">
      <x:c r="A4" s="37" t="n">
        <x:v>1</x:v>
      </x:c>
      <x:c r="B4" s="39" t="str">
        <x:v>Resume/CV</x:v>
      </x:c>
      <x:c r="C4" s="39" t="str">
        <x:v>DOCX 文件可上传</x:v>
      </x:c>
      <x:c r="D4" s="39" t="str">
        <x:v>Success!</x:v>
      </x:c>
      <x:c r="E4" s="39" t="str">
        <x:v>成功解析</x:v>
      </x:c>
      <x:c r="F4" s="39" t="str">
        <x:v>上传状态</x:v>
      </x:c>
      <x:c r="G4" s="40" t="str">
        <x:v>文件被 Lever 接收</x:v>
      </x:c>
    </x:row>
    <x:row r="5" ht="34" customHeight="1">
      <x:c r="A5" s="37" t="n">
        <x:v>2</x:v>
      </x:c>
      <x:c r="B5" s="39" t="str">
        <x:v>Full name</x:v>
      </x:c>
      <x:c r="C5" s="39" t="str">
        <x:v>Jane Lin</x:v>
      </x:c>
      <x:c r="D5" s="39" t="str">
        <x:v>Jane Lin</x:v>
      </x:c>
      <x:c r="E5" s="39" t="str">
        <x:v>成功解析</x:v>
      </x:c>
      <x:c r="F5" s="39" t="str">
        <x:v>核心联系信息</x:v>
      </x:c>
      <x:c r="G5" s="40" t="str">
        <x:v>完全匹配</x:v>
      </x:c>
    </x:row>
    <x:row r="6" ht="34" customHeight="1">
      <x:c r="A6" s="37" t="n">
        <x:v>3</x:v>
      </x:c>
      <x:c r="B6" s="39" t="str">
        <x:v>Email</x:v>
      </x:c>
      <x:c r="C6" s="39" t="str">
        <x:v>jane.lin.test@example.com</x:v>
      </x:c>
      <x:c r="D6" s="39" t="str">
        <x:v>jane.lin.test@example.com</x:v>
      </x:c>
      <x:c r="E6" s="39" t="str">
        <x:v>成功解析</x:v>
      </x:c>
      <x:c r="F6" s="39" t="str">
        <x:v>核心联系信息</x:v>
      </x:c>
      <x:c r="G6" s="40" t="str">
        <x:v>完全匹配</x:v>
      </x:c>
    </x:row>
    <x:row r="7" ht="34" customHeight="1">
      <x:c r="A7" s="37" t="n">
        <x:v>4</x:v>
      </x:c>
      <x:c r="B7" s="39" t="str">
        <x:v>Phone</x:v>
      </x:c>
      <x:c r="C7" s="39" t="str">
        <x:v>+1 202-555-0147</x:v>
      </x:c>
      <x:c r="D7" s="39" t="str">
        <x:v>+12025550147</x:v>
      </x:c>
      <x:c r="E7" s="39" t="str">
        <x:v>成功解析</x:v>
      </x:c>
      <x:c r="F7" s="39" t="str">
        <x:v>核心联系信息</x:v>
      </x:c>
      <x:c r="G7" s="40" t="str">
        <x:v>格式标准化：Lever 去除了空格和连字符</x:v>
      </x:c>
    </x:row>
    <x:row r="8" ht="34" customHeight="1">
      <x:c r="A8" s="37" t="n">
        <x:v>5</x:v>
      </x:c>
      <x:c r="B8" s="39" t="str">
        <x:v>Current location</x:v>
      </x:c>
      <x:c r="C8" s="39" t="str">
        <x:v>Seattle, WA</x:v>
      </x:c>
      <x:c r="D8" s="39" t="str">
        <x:v>Seattle, WA, USA</x:v>
      </x:c>
      <x:c r="E8" s="39" t="str">
        <x:v>成功解析</x:v>
      </x:c>
      <x:c r="F8" s="39" t="str">
        <x:v>核心联系信息</x:v>
      </x:c>
      <x:c r="G8" s="40" t="str">
        <x:v>补全了国家</x:v>
      </x:c>
    </x:row>
    <x:row r="9" ht="34" customHeight="1">
      <x:c r="A9" s="37" t="n">
        <x:v>6</x:v>
      </x:c>
      <x:c r="B9" s="39" t="str">
        <x:v>Current company</x:v>
      </x:c>
      <x:c r="C9" s="39" t="str">
        <x:v>Northstar Analytics, Inc.</x:v>
      </x:c>
      <x:c r="D9" s="39" t="str">
        <x:v>Northstar Analytics, Inc.</x:v>
      </x:c>
      <x:c r="E9" s="39" t="str">
        <x:v>成功解析</x:v>
      </x:c>
      <x:c r="F9" s="39" t="str">
        <x:v>工作信息</x:v>
      </x:c>
      <x:c r="G9" s="40" t="str">
        <x:v>完全匹配</x:v>
      </x:c>
    </x:row>
    <x:row r="10" ht="34" customHeight="1">
      <x:c r="A10" s="37" t="n">
        <x:v>7</x:v>
      </x:c>
      <x:c r="B10" s="39" t="str">
        <x:v>LinkedIn URL</x:v>
      </x:c>
      <x:c r="C10" s="39" t="str">
        <x:v>https://www.linkedin.com/in/jane-lin-test</x:v>
      </x:c>
      <x:c r="D10" s="39" t="str">
        <x:v>https://www.linkedin.com/in/jane-lin-test</x:v>
      </x:c>
      <x:c r="E10" s="39" t="str">
        <x:v>成功解析</x:v>
      </x:c>
      <x:c r="F10" s="39" t="str">
        <x:v>链接</x:v>
      </x:c>
      <x:c r="G10" s="40" t="str">
        <x:v>完全匹配</x:v>
      </x:c>
    </x:row>
    <x:row r="11" ht="34" customHeight="1">
      <x:c r="A11" s="37" t="n">
        <x:v>8</x:v>
      </x:c>
      <x:c r="B11" s="39" t="str">
        <x:v>Pronouns</x:v>
      </x:c>
      <x:c r="C11" s="39" t="str">
        <x:v>简历未提供</x:v>
      </x:c>
      <x:c r="D11" s="39" t="str">
        <x:v>未选择</x:v>
      </x:c>
      <x:c r="E11" s="39" t="str">
        <x:v>无法评估</x:v>
      </x:c>
      <x:c r="F11" s="39" t="str">
        <x:v>用户选择项</x:v>
      </x:c>
      <x:c r="G11" s="40" t="str">
        <x:v>不是常规简历解析字段</x:v>
      </x:c>
    </x:row>
    <x:row r="12" ht="34" customHeight="1">
      <x:c r="A12" s="37" t="n">
        <x:v>9</x:v>
      </x:c>
      <x:c r="B12" s="39" t="str">
        <x:v>GitHub URL</x:v>
      </x:c>
      <x:c r="C12" s="39" t="str">
        <x:v>简历未提供</x:v>
      </x:c>
      <x:c r="D12" s="39" t="str">
        <x:v>空白</x:v>
      </x:c>
      <x:c r="E12" s="39" t="str">
        <x:v>无法评估</x:v>
      </x:c>
      <x:c r="F12" s="39" t="str">
        <x:v>链接</x:v>
      </x:c>
      <x:c r="G12" s="40" t="str">
        <x:v>源简历没有该内容</x:v>
      </x:c>
    </x:row>
    <x:row r="13" ht="34" customHeight="1">
      <x:c r="A13" s="37" t="n">
        <x:v>10</x:v>
      </x:c>
      <x:c r="B13" s="39" t="str">
        <x:v>Portfolio URL</x:v>
      </x:c>
      <x:c r="C13" s="39" t="str">
        <x:v>简历未提供</x:v>
      </x:c>
      <x:c r="D13" s="39" t="str">
        <x:v>空白</x:v>
      </x:c>
      <x:c r="E13" s="39" t="str">
        <x:v>无法评估</x:v>
      </x:c>
      <x:c r="F13" s="39" t="str">
        <x:v>链接</x:v>
      </x:c>
      <x:c r="G13" s="40" t="str">
        <x:v>源简历没有该内容</x:v>
      </x:c>
    </x:row>
    <x:row r="14" ht="34" customHeight="1">
      <x:c r="A14" s="37" t="n">
        <x:v>11</x:v>
      </x:c>
      <x:c r="B14" s="39" t="str">
        <x:v>Other website</x:v>
      </x:c>
      <x:c r="C14" s="39" t="str">
        <x:v>简历未提供</x:v>
      </x:c>
      <x:c r="D14" s="39" t="str">
        <x:v>空白</x:v>
      </x:c>
      <x:c r="E14" s="39" t="str">
        <x:v>无法评估</x:v>
      </x:c>
      <x:c r="F14" s="39" t="str">
        <x:v>链接</x:v>
      </x:c>
      <x:c r="G14" s="40" t="str">
        <x:v>源简历没有该内容</x:v>
      </x:c>
    </x:row>
    <x:row r="15" ht="34" customHeight="1">
      <x:c r="A15" s="37" t="n">
        <x:v>12</x:v>
      </x:c>
      <x:c r="B15" s="39" t="str">
        <x:v>工作经历明细</x:v>
      </x:c>
      <x:c r="C15" s="39" t="str">
        <x:v>两段工作经历</x:v>
      </x:c>
      <x:c r="D15" s="39" t="str">
        <x:v>表单无独立字段</x:v>
      </x:c>
      <x:c r="E15" s="39" t="str">
        <x:v>无法评估</x:v>
      </x:c>
      <x:c r="F15" s="39" t="str">
        <x:v>工作信息</x:v>
      </x:c>
      <x:c r="G15" s="40" t="str">
        <x:v>当前页面仅显示 Current company</x:v>
      </x:c>
    </x:row>
    <x:row r="16" ht="34" customHeight="1">
      <x:c r="A16" s="37" t="n">
        <x:v>13</x:v>
      </x:c>
      <x:c r="B16" s="39" t="str">
        <x:v>教育经历</x:v>
      </x:c>
      <x:c r="C16" s="39" t="str">
        <x:v>University of Washington…</x:v>
      </x:c>
      <x:c r="D16" s="39" t="str">
        <x:v>表单无独立字段</x:v>
      </x:c>
      <x:c r="E16" s="39" t="str">
        <x:v>无法评估</x:v>
      </x:c>
      <x:c r="F16" s="39" t="str">
        <x:v>教育信息</x:v>
      </x:c>
      <x:c r="G16" s="40" t="str">
        <x:v>页面没有教育字段</x:v>
      </x:c>
    </x:row>
    <x:row r="17" ht="34" customHeight="1">
      <x:c r="A17" s="38" t="n">
        <x:v>14</x:v>
      </x:c>
      <x:c r="B17" s="41" t="str">
        <x:v>技能</x:v>
      </x:c>
      <x:c r="C17" s="41" t="str">
        <x:v>Product operations, SQL, Excel…</x:v>
      </x:c>
      <x:c r="D17" s="41" t="str">
        <x:v>表单无独立字段</x:v>
      </x:c>
      <x:c r="E17" s="41" t="str">
        <x:v>无法评估</x:v>
      </x:c>
      <x:c r="F17" s="41" t="str">
        <x:v>技能信息</x:v>
      </x:c>
      <x:c r="G17" s="42" t="str">
        <x:v>页面没有技能字段</x:v>
      </x:c>
    </x:row>
  </x:sheetData>
  <x:mergeCells>
    <x:mergeCell ref="A1:G1"/>
  </x:mergeCells>
  <x:conditionalFormatting sqref="E4:E17">
    <x:cfRule type="containsText" dxfId="0" priority="1" operator="containsText" text="成功解析"/>
    <x:cfRule type="containsText" dxfId="1" priority="2" operator="containsText" text="未解析/空白"/>
    <x:cfRule type="containsText" dxfId="2" priority="3" operator="containsText" text="无法评估"/>
  </x:conditionalFormatting>
  <x:dataValidations count="1">
    <x:dataValidation type="list" sqref="E4:E17">
      <x:formula1>"成功解析,未解析/空白,无法评估,解析错误"</x:formula1>
    </x:dataValidation>
  </x:dataValidations>
  <x:pageMargins left="0.7" right="0.7" top="0.75" bottom="0.75" header="0.3" footer="0.3"/>
  <x:legacyDrawing xmlns:r="http://schemas.openxmlformats.org/officeDocument/2006/relationships" r:id="R16d3e99ce4dd429b"/>
  <x:tableParts count="1">
    <x:tablePart xmlns:r="http://schemas.openxmlformats.org/officeDocument/2006/relationships" r:id="Rec88f51c216d459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42" hidden="0" customWidth="1"/>
    <x:col min="5" max="5" width="16" hidden="0" customWidth="1"/>
    <x:col min="6" max="6" width="18" hidden="0" customWidth="1"/>
    <x:col min="7" max="7" width="38" hidden="0" customWidth="1"/>
  </x:cols>
  <x:sheetData>
    <x:row r="1">
      <x:c r="A1" s="47" t="str">
        <x:v>Lever 文本型 PDF 字段解析明细</x:v>
      </x:c>
      <x:c r="B1" s="47"/>
      <x:c r="C1" s="47"/>
      <x:c r="D1" s="47"/>
      <x:c r="E1" s="47"/>
      <x:c r="F1" s="47"/>
      <x:c r="G1" s="47"/>
    </x:row>
    <x:row r="2">
      <x:c r="A2" s="49" t="str">
        <x:v>页面文件：jane-lin-ats-test-resume.pdf | 状态：Success | Chrome 实际页面验证</x:v>
      </x:c>
      <x:c r="B2" s="49"/>
      <x:c r="C2" s="49"/>
      <x:c r="D2" s="49"/>
      <x:c r="E2" s="49"/>
      <x:c r="F2" s="49"/>
      <x:c r="G2" s="49"/>
    </x:row>
    <x:row r="3">
      <x:c r="A3" s="53" t="str">
        <x:v>序号</x:v>
      </x:c>
      <x:c r="B3" s="54" t="str">
        <x:v>申请表字段</x:v>
      </x:c>
      <x:c r="C3" s="54" t="str">
        <x:v>简历中的预期内容</x:v>
      </x:c>
      <x:c r="D3" s="54" t="str">
        <x:v>Lever 显示结果</x:v>
      </x:c>
      <x:c r="E3" s="54" t="str">
        <x:v>判定</x:v>
      </x:c>
      <x:c r="F3" s="54" t="str">
        <x:v>字段类别</x:v>
      </x:c>
      <x:c r="G3" s="55" t="str">
        <x:v>备注</x:v>
      </x:c>
    </x:row>
    <x:row r="4" ht="34" customHeight="1">
      <x:c r="A4" s="37" t="n">
        <x:v>1</x:v>
      </x:c>
      <x:c r="B4" s="39" t="str">
        <x:v>Resume/CV</x:v>
      </x:c>
      <x:c r="C4" s="39" t="str">
        <x:v>文本型 PDF 文件可上传</x:v>
      </x:c>
      <x:c r="D4" s="39" t="str">
        <x:v>jane-lin-ats-test-resume.pdf / Success!</x:v>
      </x:c>
      <x:c r="E4" s="39" t="str">
        <x:v>成功解析</x:v>
      </x:c>
      <x:c r="F4" s="39" t="str">
        <x:v>上传状态</x:v>
      </x:c>
      <x:c r="G4" s="40" t="str">
        <x:v>Chrome 页面实际确认</x:v>
      </x:c>
    </x:row>
    <x:row r="5" ht="34" customHeight="1">
      <x:c r="A5" s="37" t="n">
        <x:v>2</x:v>
      </x:c>
      <x:c r="B5" s="39" t="str">
        <x:v>Full name</x:v>
      </x:c>
      <x:c r="C5" s="39" t="str">
        <x:v>Jane Lin</x:v>
      </x:c>
      <x:c r="D5" s="39" t="str">
        <x:v>Jane Lin</x:v>
      </x:c>
      <x:c r="E5" s="39" t="str">
        <x:v>成功解析</x:v>
      </x:c>
      <x:c r="F5" s="39" t="str">
        <x:v>核心联系信息</x:v>
      </x:c>
      <x:c r="G5" s="40" t="str">
        <x:v>完全匹配</x:v>
      </x:c>
    </x:row>
    <x:row r="6" ht="34" customHeight="1">
      <x:c r="A6" s="37" t="n">
        <x:v>3</x:v>
      </x:c>
      <x:c r="B6" s="39" t="str">
        <x:v>Email</x:v>
      </x:c>
      <x:c r="C6" s="39" t="str">
        <x:v>jane.lin.test@example.com</x:v>
      </x:c>
      <x:c r="D6" s="39" t="str">
        <x:v>jane.lin.test@example.com</x:v>
      </x:c>
      <x:c r="E6" s="39" t="str">
        <x:v>成功解析</x:v>
      </x:c>
      <x:c r="F6" s="39" t="str">
        <x:v>核心联系信息</x:v>
      </x:c>
      <x:c r="G6" s="40" t="str">
        <x:v>完全匹配</x:v>
      </x:c>
    </x:row>
    <x:row r="7" ht="34" customHeight="1">
      <x:c r="A7" s="37" t="n">
        <x:v>4</x:v>
      </x:c>
      <x:c r="B7" s="39" t="str">
        <x:v>Phone</x:v>
      </x:c>
      <x:c r="C7" s="39" t="str">
        <x:v>+1 202-555-0147</x:v>
      </x:c>
      <x:c r="D7" s="39" t="str">
        <x:v>+12025550147</x:v>
      </x:c>
      <x:c r="E7" s="39" t="str">
        <x:v>成功解析</x:v>
      </x:c>
      <x:c r="F7" s="39" t="str">
        <x:v>核心联系信息</x:v>
      </x:c>
      <x:c r="G7" s="40" t="str">
        <x:v>Lever 标准化为国家码加数字</x:v>
      </x:c>
    </x:row>
    <x:row r="8" ht="34" customHeight="1">
      <x:c r="A8" s="37" t="n">
        <x:v>5</x:v>
      </x:c>
      <x:c r="B8" s="39" t="str">
        <x:v>Current location</x:v>
      </x:c>
      <x:c r="C8" s="39" t="str">
        <x:v>Seattle, WA</x:v>
      </x:c>
      <x:c r="D8" s="39" t="str">
        <x:v>Seattle, WA, USA</x:v>
      </x:c>
      <x:c r="E8" s="39" t="str">
        <x:v>成功解析</x:v>
      </x:c>
      <x:c r="F8" s="39" t="str">
        <x:v>核心联系信息</x:v>
      </x:c>
      <x:c r="G8" s="40" t="str">
        <x:v>补全国家</x:v>
      </x:c>
    </x:row>
    <x:row r="9" ht="34" customHeight="1">
      <x:c r="A9" s="37" t="n">
        <x:v>6</x:v>
      </x:c>
      <x:c r="B9" s="39" t="str">
        <x:v>Current company</x:v>
      </x:c>
      <x:c r="C9" s="39" t="str">
        <x:v>Northstar Analytics, Inc.</x:v>
      </x:c>
      <x:c r="D9" s="39" t="str">
        <x:v>Northstar Analytics, Inc.</x:v>
      </x:c>
      <x:c r="E9" s="39" t="str">
        <x:v>成功解析</x:v>
      </x:c>
      <x:c r="F9" s="39" t="str">
        <x:v>工作信息</x:v>
      </x:c>
      <x:c r="G9" s="40" t="str">
        <x:v>完全匹配</x:v>
      </x:c>
    </x:row>
    <x:row r="10" ht="34" customHeight="1">
      <x:c r="A10" s="37" t="n">
        <x:v>7</x:v>
      </x:c>
      <x:c r="B10" s="39" t="str">
        <x:v>LinkedIn URL</x:v>
      </x:c>
      <x:c r="C10" s="39" t="str">
        <x:v>https://www.linkedin.com/in/jane-lin-test</x:v>
      </x:c>
      <x:c r="D10" s="39" t="str">
        <x:v>https://www.linkedin.com/in/jane-lin-test</x:v>
      </x:c>
      <x:c r="E10" s="39" t="str">
        <x:v>成功解析</x:v>
      </x:c>
      <x:c r="F10" s="39" t="str">
        <x:v>链接</x:v>
      </x:c>
      <x:c r="G10" s="40" t="str">
        <x:v>完全匹配</x:v>
      </x:c>
    </x:row>
    <x:row r="11" ht="34" customHeight="1">
      <x:c r="A11" s="37" t="n">
        <x:v>8</x:v>
      </x:c>
      <x:c r="B11" s="39" t="str">
        <x:v>Pronouns</x:v>
      </x:c>
      <x:c r="C11" s="39" t="str">
        <x:v>简历未提供</x:v>
      </x:c>
      <x:c r="D11" s="39" t="str">
        <x:v>未选择</x:v>
      </x:c>
      <x:c r="E11" s="39" t="str">
        <x:v>无法评估</x:v>
      </x:c>
      <x:c r="F11" s="39" t="str">
        <x:v>用户选择项</x:v>
      </x:c>
      <x:c r="G11" s="40" t="str">
        <x:v>非简历解析字段</x:v>
      </x:c>
    </x:row>
    <x:row r="12" ht="34" customHeight="1">
      <x:c r="A12" s="37" t="n">
        <x:v>9</x:v>
      </x:c>
      <x:c r="B12" s="39" t="str">
        <x:v>GitHub URL</x:v>
      </x:c>
      <x:c r="C12" s="39" t="str">
        <x:v>简历未提供</x:v>
      </x:c>
      <x:c r="D12" s="39" t="str">
        <x:v>空白</x:v>
      </x:c>
      <x:c r="E12" s="39" t="str">
        <x:v>无法评估</x:v>
      </x:c>
      <x:c r="F12" s="39" t="str">
        <x:v>链接</x:v>
      </x:c>
      <x:c r="G12" s="40" t="str">
        <x:v>源简历没有该内容</x:v>
      </x:c>
    </x:row>
    <x:row r="13" ht="34" customHeight="1">
      <x:c r="A13" s="37" t="n">
        <x:v>10</x:v>
      </x:c>
      <x:c r="B13" s="39" t="str">
        <x:v>Portfolio URL</x:v>
      </x:c>
      <x:c r="C13" s="39" t="str">
        <x:v>简历未提供</x:v>
      </x:c>
      <x:c r="D13" s="39" t="str">
        <x:v>空白</x:v>
      </x:c>
      <x:c r="E13" s="39" t="str">
        <x:v>无法评估</x:v>
      </x:c>
      <x:c r="F13" s="39" t="str">
        <x:v>链接</x:v>
      </x:c>
      <x:c r="G13" s="40" t="str">
        <x:v>源简历没有该内容</x:v>
      </x:c>
    </x:row>
    <x:row r="14" ht="34" customHeight="1">
      <x:c r="A14" s="37" t="n">
        <x:v>11</x:v>
      </x:c>
      <x:c r="B14" s="39" t="str">
        <x:v>Other website</x:v>
      </x:c>
      <x:c r="C14" s="39" t="str">
        <x:v>简历未提供</x:v>
      </x:c>
      <x:c r="D14" s="39" t="str">
        <x:v>空白</x:v>
      </x:c>
      <x:c r="E14" s="39" t="str">
        <x:v>无法评估</x:v>
      </x:c>
      <x:c r="F14" s="39" t="str">
        <x:v>链接</x:v>
      </x:c>
      <x:c r="G14" s="40" t="str">
        <x:v>源简历没有该内容</x:v>
      </x:c>
    </x:row>
    <x:row r="15" ht="34" customHeight="1">
      <x:c r="A15" s="37" t="n">
        <x:v>12</x:v>
      </x:c>
      <x:c r="B15" s="39" t="str">
        <x:v>工作经历明细</x:v>
      </x:c>
      <x:c r="C15" s="39" t="str">
        <x:v>两段工作经历</x:v>
      </x:c>
      <x:c r="D15" s="39" t="str">
        <x:v>表单无独立字段</x:v>
      </x:c>
      <x:c r="E15" s="39" t="str">
        <x:v>无法评估</x:v>
      </x:c>
      <x:c r="F15" s="39" t="str">
        <x:v>工作信息</x:v>
      </x:c>
      <x:c r="G15" s="40" t="str">
        <x:v>页面仅展示 Current company</x:v>
      </x:c>
    </x:row>
    <x:row r="16" ht="34" customHeight="1">
      <x:c r="A16" s="37" t="n">
        <x:v>13</x:v>
      </x:c>
      <x:c r="B16" s="39" t="str">
        <x:v>教育经历</x:v>
      </x:c>
      <x:c r="C16" s="39" t="str">
        <x:v>University of Washington…</x:v>
      </x:c>
      <x:c r="D16" s="39" t="str">
        <x:v>表单无独立字段</x:v>
      </x:c>
      <x:c r="E16" s="39" t="str">
        <x:v>无法评估</x:v>
      </x:c>
      <x:c r="F16" s="39" t="str">
        <x:v>教育信息</x:v>
      </x:c>
      <x:c r="G16" s="40" t="str">
        <x:v>页面没有教育字段</x:v>
      </x:c>
    </x:row>
    <x:row r="17" ht="34" customHeight="1">
      <x:c r="A17" s="38" t="n">
        <x:v>14</x:v>
      </x:c>
      <x:c r="B17" s="41" t="str">
        <x:v>技能</x:v>
      </x:c>
      <x:c r="C17" s="41" t="str">
        <x:v>Product operations, SQL, Excel…</x:v>
      </x:c>
      <x:c r="D17" s="41" t="str">
        <x:v>表单无独立字段</x:v>
      </x:c>
      <x:c r="E17" s="41" t="str">
        <x:v>无法评估</x:v>
      </x:c>
      <x:c r="F17" s="41" t="str">
        <x:v>技能信息</x:v>
      </x:c>
      <x:c r="G17" s="42" t="str">
        <x:v>页面没有技能字段</x:v>
      </x:c>
    </x:row>
  </x:sheetData>
  <x:mergeCells>
    <x:mergeCell ref="A1:G1"/>
    <x:mergeCell ref="A2:G2"/>
  </x:mergeCells>
  <x:conditionalFormatting sqref="E4:E17">
    <x:cfRule type="containsText" dxfId="3" priority="1" operator="containsText" text="成功解析"/>
    <x:cfRule type="containsText" dxfId="4" priority="2" operator="containsText" text="无法评估"/>
  </x:conditionalFormatting>
  <x:dataValidations count="1">
    <x:dataValidation type="list" sqref="E4:E17">
      <x:formula1>"成功解析,未解析/空白,无法评估,解析错误"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2c160e274f41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5" hidden="0" customWidth="1"/>
    <x:col min="3" max="3" width="25" hidden="0" customWidth="1"/>
    <x:col min="4" max="4" width="30" hidden="0" customWidth="1"/>
    <x:col min="5" max="5" width="30" hidden="0" customWidth="1"/>
    <x:col min="6" max="6" width="42" hidden="0" customWidth="1"/>
  </x:cols>
  <x:sheetData>
    <x:row r="1">
      <x:c r="A1" s="47" t="str">
        <x:v>简历内容 vs. Lever 页面字段覆盖对比</x:v>
      </x:c>
      <x:c r="B1" s="47"/>
      <x:c r="C1" s="47"/>
      <x:c r="D1" s="47"/>
      <x:c r="E1" s="47"/>
      <x:c r="F1" s="47"/>
    </x:row>
    <x:row r="2">
      <x:c r="A2" s="45" t="str">
        <x:v>“页面未展示”表示申请表没有对应可见字段，不能据此断言 ATS 后台没有解析。</x:v>
      </x:c>
      <x:c r="B2" s="45"/>
      <x:c r="C2" s="45"/>
      <x:c r="D2" s="45"/>
      <x:c r="E2" s="45"/>
      <x:c r="F2" s="45"/>
    </x:row>
    <x:row r="4">
      <x:c r="A4" s="53" t="str">
        <x:v>简历内容类别</x:v>
      </x:c>
      <x:c r="B4" s="54" t="str">
        <x:v>简历包含内容</x:v>
      </x:c>
      <x:c r="C4" s="54" t="str">
        <x:v>Lever 页面对应字段</x:v>
      </x:c>
      <x:c r="D4" s="54" t="str">
        <x:v>页面结果</x:v>
      </x:c>
      <x:c r="E4" s="54" t="str">
        <x:v>结论</x:v>
      </x:c>
      <x:c r="F4" s="55" t="str">
        <x:v>风险说明</x:v>
      </x:c>
    </x:row>
    <x:row r="5" ht="40" customHeight="1">
      <x:c r="A5" s="56" t="str">
        <x:v>姓名</x:v>
      </x:c>
      <x:c r="B5" s="39" t="str">
        <x:v>Jane Lin</x:v>
      </x:c>
      <x:c r="C5" s="39" t="str">
        <x:v>Full name</x:v>
      </x:c>
      <x:c r="D5" s="39" t="str">
        <x:v>Jane Lin</x:v>
      </x:c>
      <x:c r="E5" s="39" t="str">
        <x:v>已展示且匹配</x:v>
      </x:c>
      <x:c r="F5" s="40" t="str">
        <x:v>低风险</x:v>
      </x:c>
    </x:row>
    <x:row r="6" ht="40" customHeight="1">
      <x:c r="A6" s="56" t="str">
        <x:v>邮箱</x:v>
      </x:c>
      <x:c r="B6" s="39" t="str">
        <x:v>jane.lin.test@example.com</x:v>
      </x:c>
      <x:c r="C6" s="39" t="str">
        <x:v>Email</x:v>
      </x:c>
      <x:c r="D6" s="39" t="str">
        <x:v>完全匹配</x:v>
      </x:c>
      <x:c r="E6" s="39" t="str">
        <x:v>已展示且匹配</x:v>
      </x:c>
      <x:c r="F6" s="40" t="str">
        <x:v>低风险</x:v>
      </x:c>
    </x:row>
    <x:row r="7" ht="40" customHeight="1">
      <x:c r="A7" s="56" t="str">
        <x:v>电话</x:v>
      </x:c>
      <x:c r="B7" s="39" t="str">
        <x:v>+1 202-555-0147</x:v>
      </x:c>
      <x:c r="C7" s="39" t="str">
        <x:v>Phone</x:v>
      </x:c>
      <x:c r="D7" s="39" t="str">
        <x:v>+12025550147</x:v>
      </x:c>
      <x:c r="E7" s="39" t="str">
        <x:v>已展示且标准化</x:v>
      </x:c>
      <x:c r="F7" s="40" t="str">
        <x:v>低风险</x:v>
      </x:c>
    </x:row>
    <x:row r="8" ht="40" customHeight="1">
      <x:c r="A8" s="56" t="str">
        <x:v>所在地</x:v>
      </x:c>
      <x:c r="B8" s="39" t="str">
        <x:v>Seattle, WA</x:v>
      </x:c>
      <x:c r="C8" s="39" t="str">
        <x:v>Current location</x:v>
      </x:c>
      <x:c r="D8" s="39" t="str">
        <x:v>Seattle, WA, USA</x:v>
      </x:c>
      <x:c r="E8" s="39" t="str">
        <x:v>已展示且补全国家</x:v>
      </x:c>
      <x:c r="F8" s="40" t="str">
        <x:v>低风险</x:v>
      </x:c>
    </x:row>
    <x:row r="9" ht="40" customHeight="1">
      <x:c r="A9" s="56" t="str">
        <x:v>当前公司</x:v>
      </x:c>
      <x:c r="B9" s="39" t="str">
        <x:v>Northstar Analytics, Inc.</x:v>
      </x:c>
      <x:c r="C9" s="39" t="str">
        <x:v>Current company</x:v>
      </x:c>
      <x:c r="D9" s="39" t="str">
        <x:v>完全匹配</x:v>
      </x:c>
      <x:c r="E9" s="39" t="str">
        <x:v>已展示且匹配</x:v>
      </x:c>
      <x:c r="F9" s="40" t="str">
        <x:v>低风险</x:v>
      </x:c>
    </x:row>
    <x:row r="10" ht="40" customHeight="1">
      <x:c r="A10" s="56" t="str">
        <x:v>LinkedIn</x:v>
      </x:c>
      <x:c r="B10" s="39" t="str">
        <x:v>jane-lin-test 链接</x:v>
      </x:c>
      <x:c r="C10" s="39" t="str">
        <x:v>LinkedIn URL</x:v>
      </x:c>
      <x:c r="D10" s="39" t="str">
        <x:v>完全匹配</x:v>
      </x:c>
      <x:c r="E10" s="39" t="str">
        <x:v>已展示且匹配</x:v>
      </x:c>
      <x:c r="F10" s="40" t="str">
        <x:v>低风险</x:v>
      </x:c>
    </x:row>
    <x:row r="11" ht="40" customHeight="1">
      <x:c r="A11" s="56" t="str">
        <x:v>当前职位名称</x:v>
      </x:c>
      <x:c r="B11" s="39" t="str">
        <x:v>Senior Product Operations Manager</x:v>
      </x:c>
      <x:c r="C11" s="39" t="str">
        <x:v>无</x:v>
      </x:c>
      <x:c r="D11" s="39" t="str">
        <x:v>未展示</x:v>
      </x:c>
      <x:c r="E11" s="39" t="str">
        <x:v>页面未展示/无法确认解析</x:v>
      </x:c>
      <x:c r="F11" s="40" t="str">
        <x:v>需在后续申请或招聘方后台确认</x:v>
      </x:c>
    </x:row>
    <x:row r="12" ht="40" customHeight="1">
      <x:c r="A12" s="56" t="str">
        <x:v>历史职位与公司</x:v>
      </x:c>
      <x:c r="B12" s="39" t="str">
        <x:v>Blue Harbor Software / Product Operations Analyst</x:v>
      </x:c>
      <x:c r="C12" s="39" t="str">
        <x:v>无</x:v>
      </x:c>
      <x:c r="D12" s="39" t="str">
        <x:v>未展示</x:v>
      </x:c>
      <x:c r="E12" s="39" t="str">
        <x:v>页面未展示/无法确认解析</x:v>
      </x:c>
      <x:c r="F12" s="40" t="str">
        <x:v>同上</x:v>
      </x:c>
    </x:row>
    <x:row r="13" ht="40" customHeight="1">
      <x:c r="A13" s="56" t="str">
        <x:v>任职日期</x:v>
      </x:c>
      <x:c r="B13" s="39" t="str">
        <x:v>2019-07 至今的两段日期</x:v>
      </x:c>
      <x:c r="C13" s="39" t="str">
        <x:v>无</x:v>
      </x:c>
      <x:c r="D13" s="39" t="str">
        <x:v>未展示</x:v>
      </x:c>
      <x:c r="E13" s="39" t="str">
        <x:v>页面未展示/无法确认解析</x:v>
      </x:c>
      <x:c r="F13" s="40" t="str">
        <x:v>同上</x:v>
      </x:c>
    </x:row>
    <x:row r="14" ht="40" customHeight="1">
      <x:c r="A14" s="56" t="str">
        <x:v>工作地点</x:v>
      </x:c>
      <x:c r="B14" s="39" t="str">
        <x:v>Seattle, WA；Portland, OR</x:v>
      </x:c>
      <x:c r="C14" s="39" t="str">
        <x:v>仅 Current location</x:v>
      </x:c>
      <x:c r="D14" s="39" t="str">
        <x:v>仅当前地点显示</x:v>
      </x:c>
      <x:c r="E14" s="39" t="str">
        <x:v>部分展示</x:v>
      </x:c>
      <x:c r="F14" s="40" t="str">
        <x:v>历史职位地点无法确认</x:v>
      </x:c>
    </x:row>
    <x:row r="15" ht="40" customHeight="1">
      <x:c r="A15" s="56" t="str">
        <x:v>工作职责/成果</x:v>
      </x:c>
      <x:c r="B15" s="39" t="str">
        <x:v>6 条项目与量化成果</x:v>
      </x:c>
      <x:c r="C15" s="39" t="str">
        <x:v>无</x:v>
      </x:c>
      <x:c r="D15" s="39" t="str">
        <x:v>未展示</x:v>
      </x:c>
      <x:c r="E15" s="39" t="str">
        <x:v>页面未展示/无法确认解析</x:v>
      </x:c>
      <x:c r="F15" s="40" t="str">
        <x:v>关键匹配信息可能仍在简历附件中</x:v>
      </x:c>
    </x:row>
    <x:row r="16" ht="40" customHeight="1">
      <x:c r="A16" s="56" t="str">
        <x:v>职业摘要</x:v>
      </x:c>
      <x:c r="B16" s="39" t="str">
        <x:v>6+ 年产品运营经验摘要</x:v>
      </x:c>
      <x:c r="C16" s="39" t="str">
        <x:v>无</x:v>
      </x:c>
      <x:c r="D16" s="39" t="str">
        <x:v>未展示</x:v>
      </x:c>
      <x:c r="E16" s="39" t="str">
        <x:v>页面未展示/无法确认解析</x:v>
      </x:c>
      <x:c r="F16" s="40" t="str">
        <x:v>不能判断后台是否抽取</x:v>
      </x:c>
    </x:row>
    <x:row r="17" ht="40" customHeight="1">
      <x:c r="A17" s="56" t="str">
        <x:v>教育经历</x:v>
      </x:c>
      <x:c r="B17" s="39" t="str">
        <x:v>University of Washington / BA / 2019</x:v>
      </x:c>
      <x:c r="C17" s="39" t="str">
        <x:v>无</x:v>
      </x:c>
      <x:c r="D17" s="39" t="str">
        <x:v>未展示</x:v>
      </x:c>
      <x:c r="E17" s="39" t="str">
        <x:v>页面未展示/无法确认解析</x:v>
      </x:c>
      <x:c r="F17" s="40" t="str">
        <x:v>不能判断后台是否抽取</x:v>
      </x:c>
    </x:row>
    <x:row r="18" ht="40" customHeight="1">
      <x:c r="A18" s="56" t="str">
        <x:v>技能</x:v>
      </x:c>
      <x:c r="B18" s="39" t="str">
        <x:v>SQL、Excel、Tableau、Jira 等</x:v>
      </x:c>
      <x:c r="C18" s="39" t="str">
        <x:v>无</x:v>
      </x:c>
      <x:c r="D18" s="39" t="str">
        <x:v>未展示</x:v>
      </x:c>
      <x:c r="E18" s="39" t="str">
        <x:v>页面未展示/无法确认解析</x:v>
      </x:c>
      <x:c r="F18" s="40" t="str">
        <x:v>不能判断后台是否抽取</x:v>
      </x:c>
    </x:row>
    <x:row r="19" ht="40" customHeight="1">
      <x:c r="A19" s="57" t="str">
        <x:v>证书</x:v>
      </x:c>
      <x:c r="B19" s="41" t="str">
        <x:v>CSPO / Scrum Alliance / 2023</x:v>
      </x:c>
      <x:c r="C19" s="41" t="str">
        <x:v>无</x:v>
      </x:c>
      <x:c r="D19" s="41" t="str">
        <x:v>未展示</x:v>
      </x:c>
      <x:c r="E19" s="41" t="str">
        <x:v>页面未展示/无法确认解析</x:v>
      </x:c>
      <x:c r="F19" s="42" t="str">
        <x:v>不能判断后台是否抽取</x:v>
      </x:c>
    </x:row>
  </x:sheetData>
  <x:mergeCells>
    <x:mergeCell ref="A1:F1"/>
    <x:mergeCell ref="A2:F2"/>
  </x:mergeCells>
  <x:conditionalFormatting sqref="E5:E19">
    <x:cfRule type="containsText" dxfId="5" priority="1" operator="containsText" text="已展示"/>
    <x:cfRule type="containsText" dxfId="6" priority="2" operator="containsText" text="页面未展示"/>
  </x:conditionalFormatting>
  <x:pageMargins left="0.7" right="0.7" top="0.75" bottom="0.75" header="0.3" footer="0.3"/>
  <x:tableParts count="1">
    <x:tablePart xmlns:r="http://schemas.openxmlformats.org/officeDocument/2006/relationships" r:id="R94a4505c1e5b4028"/>
  </x:tableParts>
</x:worksheet>
</file>